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fcd110326849cc" /></Relationships>
</file>

<file path=xl/workbook.xml><?xml version="1.0" encoding="utf-8"?>
<x:workbook xmlns:x="http://schemas.openxmlformats.org/spreadsheetml/2006/main">
  <x:sheets>
    <x:sheet xmlns:r="http://schemas.openxmlformats.org/officeDocument/2006/relationships" name="Parts List" sheetId="1" r:id="R853ffc1c6cc242b7"/>
    <x:sheet xmlns:r="http://schemas.openxmlformats.org/officeDocument/2006/relationships" name="Where To Buy (Options)" sheetId="2" r:id="R0d56fbd8d3104cc0"/>
    <x:sheet xmlns:r="http://schemas.openxmlformats.org/officeDocument/2006/relationships" name="If Something Goes Wrong" sheetId="3" r:id="Rf2060bf0af704347"/>
  </x:sheets>
</x:workbook>
</file>

<file path=xl/sharedStrings.xml><?xml version="1.0" encoding="utf-8"?>
<x:sst xmlns:x="http://schemas.openxmlformats.org/spreadsheetml/2006/main">
  <x:si>
    <x:t xml:space="preserve">Parts List</x:t>
  </x:si>
  <x:si>
    <x:t xml:space="preserve">#</x:t>
  </x:si>
  <x:si>
    <x:t xml:space="preserve">Part</x:t>
  </x:si>
  <x:si>
    <x:t xml:space="preserve">Why we need it</x:t>
  </x:si>
  <x:si>
    <x:t xml:space="preserve">Qty</x:t>
  </x:si>
  <x:si>
    <x:t xml:space="preserve">Price each</x:t>
  </x:si>
  <x:si>
    <x:t xml:space="preserve">Total</x:t>
  </x:si>
  <x:si>
    <x:t xml:space="preserve">Where to buy</x:t>
  </x:si>
  <x:si>
    <x:t xml:space="preserve">Link</x:t>
  </x:si>
  <x:si>
    <x:t xml:space="preserve">Price checked?</x:t>
  </x:si>
  <x:si>
    <x:t xml:space="preserve">MG996R servo motor</x:t>
  </x:si>
  <x:si>
    <x:t xml:space="preserve">The three heavy joints: base rotation, shoulder and elbow. These carry the whole weight of the arm above them. We buy 4 so there is 1 spare, because a burnt motor mid-project costs a week.</x:t>
  </x:si>
  <x:si>
    <x:t xml:space="preserve">ModuleMore</x:t>
  </x:si>
  <x:si>
    <x:t xml:space="preserve">Buy here</x:t>
  </x:si>
  <x:si>
    <x:t xml:space="preserve">Yes, price seen</x:t>
  </x:si>
  <x:si>
    <x:t xml:space="preserve">SG90 Micro Servo Motor + Horn</x:t>
  </x:si>
  <x:si>
    <x:t xml:space="preserve">The three light joints: wrist pitch, wrist rotation and the gripper. Small and light, which matters because every gram out here multiplies the load on the shoulder. 4 for 1 spare.
</x:t>
  </x:si>
  <x:si>
    <x:t xml:space="preserve">Cybertice</x:t>
  </x:si>
  <x:si>
    <x:t xml:space="preserve">INMP441 I2S microphone
</x:t>
  </x:si>
  <x:si>
    <x:t xml:space="preserve">Voice input to the Pi.</x:t>
  </x:si>
  <x:si>
    <x:t xml:space="preserve">10kΩ Potentiometer</x:t>
  </x:si>
  <x:si>
    <x:t xml:space="preserve">One knob per joint for a manual jog mode. Not needed for autonomous operation, but reading 6 ADC channels is real microcontroller work, and it is how you calibrate each joint and demo the arm if speech or vision fails on the day.
</x:t>
  </x:si>
  <x:si>
    <x:t xml:space="preserve">Ball bearing 6806ZZ, 30x42x7
</x:t>
  </x:si>
  <x:si>
    <x:t xml:space="preserve">Press-fits into the base. It sits between the fixed base plate and the rotating platform so the base servo is not carrying the arm weight sideways through its own gears.
</x:t>
  </x:si>
  <x:si>
    <x:t xml:space="preserve">Duraprothai</x:t>
  </x:si>
  <x:si>
    <x:t xml:space="preserve">Fillament(PLA)</x:t>
  </x:si>
  <x:si>
    <x:t xml:space="preserve">Filament (PLA)</x:t>
  </x:si>
  <x:si>
    <x:t xml:space="preserve"> </x:t>
  </x:si>
  <x:si>
    <x:t xml:space="preserve">PETG filament, 1 kg
</x:t>
  </x:si>
  <x:si>
    <x:t xml:space="preserve">All the printed arm parts.</x:t>
  </x:si>
  <x:si>
    <x:t xml:space="preserve">Siamreprap</x:t>
  </x:si>
  <x:si>
    <x:t xml:space="preserve">LiPo battery, 3S 11.1 V, 2200 mAh, XT60</x:t>
  </x:si>
  <x:si>
    <x:t xml:space="preserve">Powers the whole robot so it does not need a wall socket. 3S gives 11.1 V nominal.</x:t>
  </x:si>
  <x:si>
    <x:t xml:space="preserve">Shopee</x:t>
  </x:si>
  <x:si>
    <x:t xml:space="preserve">Buck converter, 20 A 300 W, set to 6.0 V</x:t>
  </x:si>
  <x:si>
    <x:t xml:space="preserve">SERVO RAIL. Battery down to 6.0 V, feeding servos only. Rated 15 A continuous against our 9.75 A worst case. This is what replaces the AAA plan.</x:t>
  </x:si>
  <x:si>
    <x:t xml:space="preserve">Buck converter, 5 A, set to 5.1 V</x:t>
  </x:si>
  <x:si>
    <x:t xml:space="preserve">PI RAIL. A separate step-down for the Raspberry Pi. Keeping the Pi off the servo rail is what stops it rebooting every time the arm moves.</x:t>
  </x:si>
  <x:si>
    <x:t xml:space="preserve">Adruniotics</x:t>
  </x:si>
  <x:si>
    <x:t xml:space="preserve">M2 × 10 mm DIN912 Hex Socket Bolt (20)(5Baht) = 100B
M1.6 × 4 mm DIN912 Hex Socket Bolt (10)(8Baht) = 80B
M2.5 × 14 mm DIN912 Hex Socket Bolt (20)(4Baht) = 80B</x:t>
  </x:si>
  <x:si>
    <x:t xml:space="preserve">For constructing the 3D printed robotic arm.</x:t>
  </x:si>
  <x:si>
    <x:t xml:space="preserve">M2 DIN985 Nyloc Nut (10/set)(5Baht)
M2.5 DIN985 Nyloc Nut (10/set)(5Baht)
M1.6 DIN934 Hex Nut (10/set)(5Baht)</x:t>
  </x:si>
  <x:si>
    <x:t xml:space="preserve">12 V DC power adapter, 10 A (sealed brick)</x:t>
  </x:si>
  <x:si>
    <x:t xml:space="preserve">Servo power. Feeds the 20 A buck at 6.0 V, so servo conditions match deployment exactly and we test the buck early instead of in the final week. </x:t>
  </x:si>
  <x:si>
    <x:t xml:space="preserve">Barrel jack to screw terminal adapter (female)</x:t>
  </x:si>
  <x:si>
    <x:t xml:space="preserve">Lets the 12 V adapter plug into the buck without cutting its cable.</x:t>
  </x:si>
  <x:si>
    <x:t xml:space="preserve">Cytron</x:t>
  </x:si>
  <x:si>
    <x:t xml:space="preserve">shopee หมด</x:t>
  </x:si>
  <x:si>
    <x:t xml:space="preserve">Terminal block, 12CH, 15A/600V
</x:t>
  </x:si>
  <x:si>
    <x:t xml:space="preserve">TWO needed. One strip = PLUS bus (bare wire under all 12 left screws, 12 right screws free for buck+, 6 servo reds, 3 capacitor + legs). Second strip = MINUS bus (buck−, 6 servo blacks, 3 capacitor − legs, 1 wire to Pi/STM32 ground). Splitting one strip 6/6 leaves only 6 usable screws per bus, which is not enough.</x:t>
  </x:si>
  <x:si>
    <x:t xml:space="preserve">s2ins</x:t>
  </x:si>
  <x:si>
    <x:t xml:space="preserve">XT60 connector pair male (with 14 AWG pre-soldered)</x:t>
  </x:si>
  <x:si>
    <x:t xml:space="preserve">The yellow RC battery plug. Your pack has one half; you buy the mating half to solder to your wiring so the battery unplugs for charging.</x:t>
  </x:si>
  <x:si>
    <x:t xml:space="preserve">Silicone wire 14 AWG + 18 AWG
</x:t>
  </x:si>
  <x:si>
    <x:t xml:space="preserve">14 AWG (2 m red + 2 m black): adapter to buck, buck to Block A, battery junction to both bucks, plus ~30 cm cut into short bus links bridging terminal screws. 18 AWG (1 m + 1 m): Block A out to each servo. Silicone insulation stays flexible on a moving arm. NOT jumper wire — that melts at these currents.
</x:t>
  </x:si>
  <x:si>
    <x:t xml:space="preserve">Capacitors, 2200 uF 16 V, x3</x:t>
  </x:si>
  <x:si>
    <x:t xml:space="preserve">Mount across the terminal block. They supply the instant a servo starts, before the converter can react. Three in parallel react faster than one big one.</x:t>
  </x:si>
  <x:si>
    <x:t xml:space="preserve">USB-A to micro-USB cable</x:t>
  </x:si>
  <x:si>
    <x:t xml:space="preserve">For connecting Pi - STM32 using UART protocols</x:t>
  </x:si>
  <x:si>
    <x:t xml:space="preserve">Heat shrink tubing</x:t>
  </x:si>
  <x:si>
    <x:t xml:space="preserve">Insulates the XT60 solder split where both buck input pairs join the battery pigtail. Bare copper next to a LiPo is a short waiting to happen.</x:t>
  </x:si>
  <x:si>
    <x:t xml:space="preserve">Jumper wires, 3 x 40-way sets</x:t>
  </x:si>
  <x:si>
    <x:t xml:space="preserve">*** เราอาจจะมีอยู่แล้ว *** Male-male and male-female</x:t>
  </x:si>
  <x:si>
    <x:t xml:space="preserve">B3 Balance Charger 20 W for 2S / 3S LiPo</x:t>
  </x:si>
  <x:si>
    <x:t xml:space="preserve">A 3S LiPo must only be charged on a proper balance charger.</x:t>
  </x:si>
  <x:si>
    <x:t xml:space="preserve">cybertice</x:t>
  </x:si>
  <x:si>
    <x:t xml:space="preserve">STM32 board (STM32F767ZI)
</x:t>
  </x:si>
  <x:si>
    <x:t xml:space="preserve">We have it</x:t>
  </x:si>
  <x:si>
    <x:t xml:space="preserve">Free</x:t>
  </x:si>
  <x:si>
    <x:t xml:space="preserve">Raspberry Pi 4</x:t>
  </x:si>
  <x:si>
    <x:t xml:space="preserve">Already have it. Speech, camera, joint angle maths, and sending commands to the STM32.
</x:t>
  </x:si>
  <x:si>
    <x:t xml:space="preserve">Breadboard</x:t>
  </x:si>
  <x:si>
    <x:t xml:space="preserve">Holds the 6 potentiometers and their wiring tidily. </x:t>
  </x:si>
  <x:si>
    <x:t xml:space="preserve">RGB-D camera</x:t>
  </x:si>
  <x:si>
    <x:t xml:space="preserve">Borrowed from a friend. It finds the cube and measures how far away it is.</x:t>
  </x:si>
  <x:si>
    <x:t xml:space="preserve">Borrowed</x:t>
  </x:si>
  <x:si>
    <x:t xml:space="preserve">Parts total</x:t>
  </x:si>
  <x:si>
    <x:t xml:space="preserve">Passed</x:t>
  </x:si>
  <x:si>
    <x:t xml:space="preserve">Shipping</x:t>
  </x:si>
  <x:si>
    <x:t xml:space="preserve">We order from about 3 shops. Each charges ฿50 to ฿70.</x:t>
  </x:si>
  <x:si>
    <x:t xml:space="preserve">In review</x:t>
  </x:si>
  <x:si>
    <x:t xml:space="preserve">Spare money</x:t>
  </x:si>
  <x:si>
    <x:t xml:space="preserve">In case we burn a motor, buy the wrong screws, or a guessed price is too low.</x:t>
  </x:si>
  <x:si>
    <x:t xml:space="preserve">TOTAL</x:t>
  </x:si>
  <x:si>
    <x:t xml:space="preserve">Optional extras, NOT included in the total above</x:t>
  </x:si>
  <x:si>
    <x:t xml:space="preserve">When we would buy it</x:t>
  </x:si>
  <x:si>
    <x:t xml:space="preserve">Price</x:t>
  </x:si>
  <x:si>
    <x:t xml:space="preserve">Where</x:t>
  </x:si>
  <x:si>
    <x:t xml:space="preserve">8th MG996R, second spare</x:t>
  </x:si>
  <x:si>
    <x:t xml:space="preserve">Top budgeted 2 spares. We budget 1. Add this if motors start dying.</x:t>
  </x:si>
  <x:si>
    <x:t xml:space="preserve">฿139</x:t>
  </x:si>
  <x:si>
    <x:t xml:space="preserve">Emergency stop button 22 mm</x:t>
  </x:si>
  <x:si>
    <x:t xml:space="preserve">ADDED. LAY37-11ZS mushroom latching, 1NO+1NC, 10 A. Press to stop the arm when the code sends it somewhere wrong — the fuse cannot detect that.</x:t>
  </x:si>
  <x:si>
    <x:t xml:space="preserve">฿45</x:t>
  </x:si>
  <x:si>
    <x:t xml:space="preserve">Vongjorn</x:t>
  </x:si>
  <x:si>
    <x:t xml:space="preserve">DS3218 20 kg-cm servo</x:t>
  </x:si>
  <x:si>
    <x:t xml:space="preserve">Only if the shoulder droops when the arm reaches out. Buy it after we build the arm and see, not before.</x:t>
  </x:si>
  <x:si>
    <x:t xml:space="preserve">฿500</x:t>
  </x:si>
  <x:si>
    <x:t xml:space="preserve">Where To Buy (options ranked cheapest first)</x:t>
  </x:si>
  <x:si>
    <x:t xml:space="preserve">For each part, the cheapest option is listed first. The last column says what you give up by going cheap, so you can decide where it matters. Rows marked OUR PICK are what the Parts List uses.</x:t>
  </x:si>
  <x:si>
    <x:t xml:space="preserve">Option</x:t>
  </x:si>
  <x:si>
    <x:t xml:space="preserve">Shop</x:t>
  </x:si>
  <x:si>
    <x:t xml:space="preserve">What you gain or give up</x:t>
  </x:si>
  <x:si>
    <x:t xml:space="preserve">SERVOS — MG996R (need 4)</x:t>
  </x:si>
  <x:si>
    <x:t xml:space="preserve">MG996R</x:t>
  </x:si>
  <x:si>
    <x:t xml:space="preserve">ModuleMore SKU-00524</x:t>
  </x:si>
  <x:si>
    <x:t xml:space="preserve">Open</x:t>
  </x:si>
  <x:si>
    <x:t xml:space="preserve">OUR PICK. Cheapest confirmed Thai price. 30-day warranty. Buy all 4 here.</x:t>
  </x:si>
  <x:si>
    <x:t xml:space="preserve">Backup if ModuleMore is out of stock. Same part, ฿21 more.</x:t>
  </x:si>
  <x:si>
    <x:t xml:space="preserve">MG996R TowerPro genuine</x:t>
  </x:si>
  <x:si>
    <x:t xml:space="preserve">Arduitronics</x:t>
  </x:si>
  <x:si>
    <x:t xml:space="preserve">Genuine TowerPro branding. Marketplaces have a lot of fakes; if you have had a bad servo before, pay the extra ฿36.</x:t>
  </x:si>
  <x:si>
    <x:t xml:space="preserve">SERVOS — SG90 (need 4)</x:t>
  </x:si>
  <x:si>
    <x:t xml:space="preserve">SG90 9g</x:t>
  </x:si>
  <x:si>
    <x:t xml:space="preserve">Shopee multipack</x:t>
  </x:si>
  <x:si>
    <x:t xml:space="preserve">Cheapest per unit in packs of 5 or 10. Quality varies between sellers, so read reviews.</x:t>
  </x:si>
  <x:si>
    <x:t xml:space="preserve">SG90 + horn</x:t>
  </x:si>
  <x:si>
    <x:t xml:space="preserve">OUR PICK. Comes with horns, which you need. Known shop.</x:t>
  </x:si>
  <x:si>
    <x:t xml:space="preserve">MG90S metal gear</x:t>
  </x:si>
  <x:si>
    <x:t xml:space="preserve">Metal gears instead of plastic. Worth it only if you strip an SG90 gear during testing.</x:t>
  </x:si>
  <x:si>
    <x:t xml:space="preserve">BATTERY — 3S LiPo</x:t>
  </x:si>
  <x:si>
    <x:t xml:space="preserve">GPR 3S 2200mAh budget</x:t>
  </x:si>
  <x:si>
    <x:t xml:space="preserve">UDSHobby</x:t>
  </x:si>
  <x:si>
    <x:t xml:space="preserve">Cheapest option. Lower C-rating and less consistent. We only need 1.2C so it would work, but cheap packs swell sooner.</x:t>
  </x:si>
  <x:si>
    <x:t xml:space="preserve">ManiaX 3S 2200mAh 30C XT60</x:t>
  </x:si>
  <x:si>
    <x:t xml:space="preserve">OUR PICK. Shop checks cells before shipping. XT60 already fitted, correct C-rating with margin.</x:t>
  </x:si>
  <x:si>
    <x:t xml:space="preserve">ManiaX 3S 2600mAh 60C XT60</x:t>
  </x:si>
  <x:si>
    <x:t xml:space="preserve">More capacity means longer runtime, roughly 50 min instead of 40. Only worth it if debugging sessions run long.</x:t>
  </x:si>
  <x:si>
    <x:t xml:space="preserve">SERVO RAIL CONVERTER</x:t>
  </x:si>
  <x:si>
    <x:t xml:space="preserve">LM2596 3 A module</x:t>
  </x:si>
  <x:si>
    <x:t xml:space="preserve">DO NOT USE for servos. Only 3 A, far under our 9.75 A worst case. Listed so you can see why the cheap one fails.</x:t>
  </x:si>
  <x:si>
    <x:t xml:space="preserve">XL4016 8 A 200 W</x:t>
  </x:si>
  <x:si>
    <x:t xml:space="preserve">Would cover normal movement at 2.4 A but not a stall. Risky.</x:t>
  </x:si>
  <x:si>
    <x:t xml:space="preserve">20 A 300 W buck</x:t>
  </x:si>
  <x:si>
    <x:t xml:space="preserve">Cybertice / Shopee</x:t>
  </x:si>
  <x:si>
    <x:t xml:space="preserve">OUR PICK. 15 A continuous against our 9.75 A worst case. Add a fan if it runs hot.</x:t>
  </x:si>
  <x:si>
    <x:t xml:space="preserve">PI RAIL CONVERTER</x:t>
  </x:si>
  <x:si>
    <x:t xml:space="preserve">LM2596 3 A adjustable</x:t>
  </x:si>
  <x:si>
    <x:t xml:space="preserve">Marginal. Pi plus camera plus STM32 peaks at 2.7 A, leaving almost no headroom.</x:t>
  </x:si>
  <x:si>
    <x:t xml:space="preserve">SY8205 5 A</x:t>
  </x:si>
  <x:si>
    <x:t xml:space="preserve">Arduitronics / Shopee</x:t>
  </x:si>
  <x:si>
    <x:t xml:space="preserve">OUR PICK. 5 A against a 2.7 A peak is comfortable margin for ฿25 more.</x:t>
  </x:si>
  <x:si>
    <x:t xml:space="preserve">8 A adjustable buck</x:t>
  </x:si>
  <x:si>
    <x:t xml:space="preserve">More than needed. Only if you later add USB devices.</x:t>
  </x:si>
  <x:si>
    <x:t xml:space="preserve">EMERGENCY STOP BUTTON</x:t>
  </x:si>
  <x:si>
    <x:t xml:space="preserve">16 mm push button</x:t>
  </x:si>
  <x:si>
    <x:t xml:space="preserve">Too small to hit in a hurry and often momentary rather than latching. Not suitable for an e-stop.</x:t>
  </x:si>
  <x:si>
    <x:t xml:space="preserve">22 mm mushroom latching NC</x:t>
  </x:si>
  <x:si>
    <x:t xml:space="preserve">OUR PICK. Proper mushroom head, latches when pressed, normally-closed contact. This is what an e-stop should be.</x:t>
  </x:si>
  <x:si>
    <x:t xml:space="preserve">Industrial e-stop, IP65</x:t>
  </x:si>
  <x:si>
    <x:t xml:space="preserve">PT Automation</x:t>
  </x:si>
  <x:si>
    <x:t xml:space="preserve">Sealed industrial grade. Overkill for a desk robot but if the professor values safety marks, it shows intent.</x:t>
  </x:si>
  <x:si>
    <x:t xml:space="preserve">RELAY for the e-stop circuit</x:t>
  </x:si>
  <x:si>
    <x:t xml:space="preserve">5 V PCB relay 10 A</x:t>
  </x:si>
  <x:si>
    <x:t xml:space="preserve">Contacts only rated 10 A. Our worst case is 9.75 A, so it sits right at the limit. No margin.</x:t>
  </x:si>
  <x:si>
    <x:t xml:space="preserve">12 V automotive 30 A + socket</x:t>
  </x:si>
  <x:si>
    <x:t xml:space="preserve">OUR PICK. 30 A contacts against 9.75 A. Socket makes it replaceable without soldering. Coil pulls in fine at 11.1 V.</x:t>
  </x:si>
  <x:si>
    <x:t xml:space="preserve">Contactor 25 A DC</x:t>
  </x:si>
  <x:si>
    <x:t xml:space="preserve">Proper DC contactor. Better arc handling but large, expensive and unnecessary at this current.</x:t>
  </x:si>
  <x:si>
    <x:t xml:space="preserve">LIMIT SWITCHES (need 4)</x:t>
  </x:si>
  <x:si>
    <x:t xml:space="preserve">KW11 micro switch</x:t>
  </x:si>
  <x:si>
    <x:t xml:space="preserve">ModuleMore SKU-02128</x:t>
  </x:si>
  <x:si>
    <x:t xml:space="preserve">OUR PICK. Standard micro switch with lever. Exactly what a 3D printer endstop uses.</x:t>
  </x:si>
  <x:si>
    <x:t xml:space="preserve">3D printer endstop board</x:t>
  </x:si>
  <x:si>
    <x:t xml:space="preserve">ModuleMore SKU-00391</x:t>
  </x:si>
  <x:si>
    <x:t xml:space="preserve">Switch on a small PCB with a connector and LED. Tidier wiring, easier to mount, ฿20 more each.</x:t>
  </x:si>
  <x:si>
    <x:t xml:space="preserve">OMRON D4V industrial</x:t>
  </x:si>
  <x:si>
    <x:t xml:space="preserve">Industrial 5 A IP65. Massively over-specified for detecting a plastic arm reaching its stop.</x:t>
  </x:si>
  <x:si>
    <x:t xml:space="preserve">BREADBOARD</x:t>
  </x:si>
  <x:si>
    <x:t xml:space="preserve">400 point + jumper kit</x:t>
  </x:si>
  <x:si>
    <x:t xml:space="preserve">AB Maker</x:t>
  </x:si>
  <x:si>
    <x:t xml:space="preserve">Includes some jumpers and LEDs. Small but enough for 6 potentiometers if you are tight.</x:t>
  </x:si>
  <x:si>
    <x:t xml:space="preserve">MB-102 830 point</x:t>
  </x:si>
  <x:si>
    <x:t xml:space="preserve">ModuleMore SKU-00037</x:t>
  </x:si>
  <x:si>
    <x:t xml:space="preserve">OUR PICK. Full size, room for the pots plus anything you add later.</x:t>
  </x:si>
  <x:si>
    <x:t xml:space="preserve">830 point + power rails + case</x:t>
  </x:si>
  <x:si>
    <x:t xml:space="preserve">Mounted on a plate with binding posts. Tidier but not needed.</x:t>
  </x:si>
  <x:si>
    <x:t xml:space="preserve">JUMPER WIRES</x:t>
  </x:si>
  <x:si>
    <x:t xml:space="preserve">65-wire breadboard pack</x:t>
  </x:si>
  <x:si>
    <x:t xml:space="preserve">ModuleMore SKU-00034</x:t>
  </x:si>
  <x:si>
    <x:t xml:space="preserve">Stiff pre-formed wires. Good on a breadboard, useless for reaching between boards.</x:t>
  </x:si>
  <x:si>
    <x:t xml:space="preserve">3 x 40-way dupont sets</x:t>
  </x:si>
  <x:si>
    <x:t xml:space="preserve">OUR PICK. Male-male, male-female and female-female. Covers every connection in this project.</x:t>
  </x:si>
  <x:si>
    <x:t xml:space="preserve">840 piece full kit</x:t>
  </x:si>
  <x:si>
    <x:t xml:space="preserve">ModuleMore SKU-02871</x:t>
  </x:si>
  <x:si>
    <x:t xml:space="preserve">Confirmed ฿180. Huge kit with a case. Buy if you want spares for future projects.</x:t>
  </x:si>
  <x:si>
    <x:t xml:space="preserve">FILAMENT</x:t>
  </x:si>
  <x:si>
    <x:t xml:space="preserve">PLA 1 kg</x:t>
  </x:si>
  <x:si>
    <x:t xml:space="preserve">What the reference uses. Prints easier but slowly bends under sustained load, which our joints have.</x:t>
  </x:si>
  <x:si>
    <x:t xml:space="preserve">PETG 1 kg</x:t>
  </x:si>
  <x:si>
    <x:t xml:space="preserve">Siamreprap / Shopee</x:t>
  </x:si>
  <x:si>
    <x:t xml:space="preserve">OUR PICK. Tougher, does not creep. Needs a slightly hotter nozzle. One spool covers the arm.</x:t>
  </x:si>
  <x:si>
    <x:t xml:space="preserve">ABS 1 kg</x:t>
  </x:si>
  <x:si>
    <x:t xml:space="preserve">Strongest and most heat resistant, but needs an enclosed printer and good ventilation. Only if you have that printer.</x:t>
  </x:si>
  <x:si>
    <x:t xml:space="preserve">SCREWS AND NUTS</x:t>
  </x:si>
  <x:si>
    <x:t xml:space="preserve">Assorted DIN912 box M2-M6</x:t>
  </x:si>
  <x:si>
    <x:t xml:space="preserve">Lazada</x:t>
  </x:si>
  <x:si>
    <x:t xml:space="preserve">OUR PICK. 304 stainless, covers every size we need plus spares for stripped threads. Cheaper than buying sizes separately.</x:t>
  </x:si>
  <x:si>
    <x:t xml:space="preserve">Individual sizes</x:t>
  </x:si>
  <x:si>
    <x:t xml:space="preserve">SJ ScrewThai</x:t>
  </x:si>
  <x:si>
    <x:t xml:space="preserve">Thai manufacturer, ISO 9001. Use when you need a lot of one size, or a size the box omits.</x:t>
  </x:si>
  <x:si>
    <x:t xml:space="preserve">Small nuts M1.6 and M2</x:t>
  </x:si>
  <x:si>
    <x:t xml:space="preserve">RemoThai</x:t>
  </x:si>
  <x:si>
    <x:t xml:space="preserve">DIN934 and ISO4032 nuts from M2 up, no minimum order. Assortment boxes often skip the tiny nuts, so budget for this too.</x:t>
  </x:si>
  <x:si>
    <x:t xml:space="preserve">BEARING 6806ZZ</x:t>
  </x:si>
  <x:si>
    <x:t xml:space="preserve">Generic 6806ZZ</x:t>
  </x:si>
  <x:si>
    <x:t xml:space="preserve">OUR PICK. 30x42x7 mm. Any bearing shop stocks it. Get the ZZ metal-shielded version.</x:t>
  </x:si>
  <x:si>
    <x:t xml:space="preserve">NSK or NTN branded</x:t>
  </x:si>
  <x:si>
    <x:t xml:space="preserve">Bearing distributor</x:t>
  </x:si>
  <x:si>
    <x:t xml:space="preserve">Japanese brand, smoother and longer life. The base turns slowly and rarely, so a generic is fine here.</x:t>
  </x:si>
  <x:si>
    <x:t xml:space="preserve">How to order to avoid buying twice</x:t>
  </x:si>
  <x:si>
    <x:t xml:space="preserve">- Print ONE test part before buying screws. M2 is slightly smaller than the No.2-32 the original design used, so the holes may need resizing in CAD. Changing a hole is free, a wrong box of screws is not.</x:t>
  </x:si>
  <x:si>
    <x:t xml:space="preserve">- Buy the servos LAST from the confirmed cheap source, once you know the printed parts fit them.</x:t>
  </x:si>
  <x:si>
    <x:t xml:space="preserve">- Do not buy the DS3218 upgrade servo in advance. Fit the spring first, then judge whether the shoulder still droops.</x:t>
  </x:si>
  <x:si>
    <x:t xml:space="preserve">- Check the LiPo is not swollen the day it arrives. A swollen pack is not usable and returns get harder after a week.</x:t>
  </x:si>
  <x:si>
    <x:t xml:space="preserve">Problems and Backup Plans</x:t>
  </x:si>
  <x:si>
    <x:t xml:space="preserve">Red rows are things that will definitely go wrong if we do not change them. To be discussed as a group.</x:t>
  </x:si>
  <x:si>
    <x:t xml:space="preserve">Problem</x:t>
  </x:si>
  <x:si>
    <x:t xml:space="preserve">What actually happens</x:t>
  </x:si>
  <x:si>
    <x:t xml:space="preserve">What we do instead</x:t>
  </x:si>
  <x:si>
    <x:t xml:space="preserve">Cost</x:t>
  </x:si>
  <x:si>
    <x:t xml:space="preserve">E-stop button wired directly in the power path</x:t>
  </x:si>
  <x:si>
    <x:t xml:space="preserve">A ฿90 button switching 9.75 A will weld its contacts shut and silently stop protecting anyone.</x:t>
  </x:si>
  <x:si>
    <x:t xml:space="preserve">Button drives the relay coil only. The 30 A relay contacts carry the servo current.</x:t>
  </x:si>
  <x:si>
    <x:t xml:space="preserve">Metric screws do not fit the printed holes</x:t>
  </x:si>
  <x:si>
    <x:t xml:space="preserve">The original design used imperial No.2-32 and No.3-28 truss-head screws. M2 is slightly smaller, so our screws may sit loose.</x:t>
  </x:si>
  <x:si>
    <x:t xml:space="preserve">Print ONE test part first and check the fit before ordering in bulk.</x:t>
  </x:si>
  <x:si>
    <x:t xml:space="preserve">M3 hardware is missing from our list</x:t>
  </x:si>
  <x:si>
    <x:t xml:space="preserve">The reference needs M3x16, M3x6, M3x20 and M3 nuts for the arm links and gripper. Our fastener list has none of these.</x:t>
  </x:si>
  <x:si>
    <x:t xml:space="preserve">Confirm whether the CAD holes were resized. If not, the assorted box covers M3 anyway.</x:t>
  </x:si>
  <x:si>
    <x:t xml:space="preserve">Shoulder servo droops when the arm extends</x:t>
  </x:si>
  <x:si>
    <x:t xml:space="preserve">MG996R gives about 11 kg-cm at 6 V and a fully extended arm asks for close to that. It buzzes, heats and sags out of position.</x:t>
  </x:si>
  <x:si>
    <x:t xml:space="preserve">Fit the spring first. Only if it still droops, replace the shoulder servo with a DS3218 at 20 kg-cm.</x:t>
  </x:si>
  <x:si>
    <x:t xml:space="preserve">Printed parts creep or crack</x:t>
  </x:si>
  <x:si>
    <x:t xml:space="preserve">PLA slowly bends under constant load and cracks around screw holes.</x:t>
  </x:si>
  <x:si>
    <x:t xml:space="preserve">Print in PETG at 0.2 mm layers, 40% infill or more on the base and arm links.</x:t>
  </x:si>
  <x:si>
    <x:t xml:space="preserve">Nuts vibrate loose</x:t>
  </x:si>
  <x:si>
    <x:t xml:space="preserve">A moving arm shakes plain nuts undone within hours of testing.</x:t>
  </x:si>
  <x:si>
    <x:t xml:space="preserve">DIN985 nyloc nuts, which is why they are on the list. Threadlock also works.</x:t>
  </x:si>
  <x:si>
    <x:t xml:space="preserve">Pi shows undervoltage warnings</x:t>
  </x:si>
  <x:si>
    <x:t xml:space="preserve">Pi USB ports supply 1.2 A total. Camera 0.7 A plus STM32 0.25 A is 79% of that before anything else.</x:t>
  </x:si>
  <x:si>
    <x:t xml:space="preserve">Power the Nucleo from its own adapter and keep the ground tied to the common bar.</x:t>
  </x:si>
  <x:si>
    <x:t xml:space="preserve">Battery runs out mid-testing</x:t>
  </x:si>
  <x:si>
    <x:t xml:space="preserve">A 2200 mAh pack at about 2.6 A gives roughly 40 minutes. Debug sessions run longer.</x:t>
  </x:si>
  <x:si>
    <x:t xml:space="preserve">Bench-test from a wall supply through the same converters. Save the battery for the demo.</x:t>
  </x:si>
  <x:si>
    <x:t xml:space="preserve">Gripper misses the cube by 1 to 2 cm</x:t>
  </x:si>
  <x:si>
    <x:t xml:space="preserve">Servo deadband, not a software bug. MG996R has 1 to 2 degrees of play, which is 5 to 10 mm at 30 cm reach.</x:t>
  </x:si>
  <x:si>
    <x:t xml:space="preserve">Use 4 cm cubes, rubber pads inside the gripper, approach from directly above.</x:t>
  </x:si>
  <x:si>
    <x:t xml:space="preserve">Speech works badly in a noisy room</x:t>
  </x:si>
  <x:si>
    <x:t xml:space="preserve">One omnidirectional microphone hears the servos as well as you.</x:t>
  </x:si>
  <x:si>
    <x:t xml:space="preserve">Mount it away from the arm, only listen while the arm is still, restrict to fixed command phrases.</x:t>
  </x:si>
</x:sst>
</file>

<file path=xl/styles.xml><?xml version="1.0" encoding="utf-8"?>
<x:styleSheet xmlns:x="http://schemas.openxmlformats.org/spreadsheetml/2006/main">
  <x:numFmts count="1">
    <x:numFmt numFmtId="164" formatCode="\฿#,##0"/>
  </x:numFmts>
  <x:fonts count="27">
    <x:font>
      <x:sz val="11"/>
      <x:color theme="1"/>
      <x:name val="Calibri"/>
    </x:font>
    <x:font>
      <x:b/>
      <x:sz val="14"/>
      <x:color rgb="FF1F3864"/>
      <x:name val="Arial"/>
    </x:font>
    <x:font>
      <x:sz val="10"/>
      <x:color rgb="FF404040"/>
      <x:name val="Arial"/>
    </x:font>
    <x:font>
      <x:b/>
      <x:sz val="10"/>
      <x:color rgb="FFFFFFFF"/>
      <x:name val="Arial"/>
    </x:font>
    <x:font>
      <x:sz val="10"/>
      <x:color theme="1"/>
      <x:name val="Arial"/>
    </x:font>
    <x:font>
      <x:sz val="11"/>
      <x:color theme="1"/>
      <x:name val="Calibri"/>
    </x:font>
    <x:font>
      <x:sz val="10"/>
      <x:color rgb="FF0000FF"/>
      <x:name val="Arial"/>
    </x:font>
    <x:font>
      <x:b/>
      <x:sz val="14"/>
      <x:color rgb="FF000000"/>
      <x:name val="Arial"/>
    </x:font>
    <x:font>
      <x:i/>
      <x:sz val="9"/>
      <x:color rgb="FF404040"/>
      <x:name val="Arial"/>
    </x:font>
    <x:font>
      <x:sz val="10"/>
      <x:color rgb="FF0563C1"/>
      <x:name val="Arial"/>
    </x:font>
    <x:font>
      <x:sz val="10"/>
      <x:color rgb="FF0563C1"/>
      <x:name val="Arial"/>
    </x:font>
    <x:font>
      <x:sz val="10"/>
      <x:color rgb="FF0563C1"/>
      <x:name val="Arial"/>
    </x:font>
    <x:font>
      <x:sz val="10"/>
      <x:color rgb="FF0563C1"/>
      <x:name val="Arial"/>
    </x:font>
    <x:font>
      <x:sz val="10"/>
      <x:color theme="4"/>
      <x:name val="Arial"/>
    </x:font>
    <x:font>
      <x:sz val="10"/>
      <x:color rgb="FF0000FF"/>
      <x:name val="Arial"/>
    </x:font>
    <x:font>
      <x:sz val="10"/>
      <x:color rgb="FF1F3864"/>
      <x:name val="Arial"/>
    </x:font>
    <x:font>
      <x:color theme="1"/>
      <x:name val="Calibri"/>
    </x:font>
    <x:font>
      <x:b/>
      <x:sz val="11"/>
      <x:color rgb="FF1F3864"/>
      <x:name val="Arial"/>
    </x:font>
    <x:font>
      <x:sz val="11"/>
      <x:color rgb="FF0000FF"/>
      <x:name val="Calibri"/>
    </x:font>
    <x:font>
      <x:sz val="11"/>
      <x:color rgb="FF0000FF"/>
      <x:name val="Calibri"/>
    </x:font>
    <x:font>
      <x:b/>
      <x:sz val="11"/>
      <x:color theme="1"/>
      <x:name val="Arial"/>
    </x:font>
    <x:font>
      <x:b/>
      <x:i/>
      <x:color theme="1"/>
      <x:name val="Calibri"/>
    </x:font>
    <x:font>
      <x:sz val="10"/>
      <x:color theme="4"/>
      <x:name val="Arial"/>
    </x:font>
    <x:font>
      <x:sz val="10"/>
      <x:color theme="0"/>
      <x:name val="Arial"/>
    </x:font>
    <x:font>
      <x:color rgb="FF0000FF"/>
    </x:font>
    <x:font>
      <x:sz val="8"/>
      <x:color rgb="FF0563C1"/>
      <x:name val="Arial"/>
    </x:font>
    <x:font>
      <x:sz val="8"/>
      <x:color rgb="FF0000FF"/>
      <x:name val="Arial"/>
    </x:font>
  </x:fonts>
  <x:fills count="12">
    <x:fill>
      <x:patternFill patternType="none"/>
    </x:fill>
    <x:fill>
      <x:patternFill patternType="lightGray"/>
    </x:fill>
    <x:fill>
      <x:patternFill patternType="solid">
        <x:fgColor rgb="FF1F3864"/>
      </x:patternFill>
    </x:fill>
    <x:fill>
      <x:patternFill patternType="solid">
        <x:fgColor rgb="FFFFC7CE"/>
      </x:patternFill>
    </x:fill>
    <x:fill>
      <x:patternFill patternType="solid">
        <x:fgColor rgb="FF4472C4"/>
      </x:patternFill>
    </x:fill>
    <x:fill>
      <x:patternFill patternType="solid">
        <x:fgColor rgb="FFFFFFFF"/>
      </x:patternFill>
    </x:fill>
    <x:fill>
      <x:patternFill patternType="solid">
        <x:fgColor rgb="FF00FF00"/>
      </x:patternFill>
    </x:fill>
    <x:fill>
      <x:patternFill patternType="solid">
        <x:fgColor rgb="FFC6EFCE"/>
      </x:patternFill>
    </x:fill>
    <x:fill>
      <x:patternFill patternType="solid">
        <x:fgColor rgb="FFD9D9D9"/>
      </x:patternFill>
    </x:fill>
    <x:fill>
      <x:patternFill patternType="solid">
        <x:fgColor rgb="FFE2EFDA"/>
      </x:patternFill>
    </x:fill>
    <x:fill>
      <x:patternFill patternType="solid">
        <x:fgColor rgb="FFD9E2F3"/>
      </x:patternFill>
    </x:fill>
    <x:fill>
      <x:patternFill patternType="solid">
        <x:fgColor rgb="FFFFFF00"/>
      </x:patternFill>
    </x:fill>
  </x:fills>
  <x:borders count="3">
    <x:border/>
    <x:border>
      <x:left style="thin">
        <x:color rgb="FFBFBFBF"/>
      </x:left>
      <x:right style="thin">
        <x:color rgb="FFBFBFBF"/>
      </x:right>
      <x:top style="thin">
        <x:color rgb="FFBFBFBF"/>
      </x:top>
      <x:bottom style="thin">
        <x:color rgb="FFBFBFBF"/>
      </x:bottom>
    </x:border>
    <x:border/>
  </x:borders>
  <x:cellStyleXfs count="1">
    <x:xf numFmtId="0" fontId="0" fillId="0" borderId="0" applyFont="1" applyAlignment="1"/>
  </x:cellStyleXfs>
  <x:cellXfs count="88">
    <x:xf numFmtId="0" fontId="0" fillId="0" borderId="0" xfId="0" applyFont="1" applyAlignment="1">
      <x:alignment vertical="bottom" wrapText="0"/>
    </x:xf>
    <x:xf numFmtId="0" fontId="1" fillId="0" borderId="0" xfId="0" applyFont="1" applyAlignment="1">
      <x:alignment vertical="bottom" wrapText="0"/>
    </x:xf>
    <x:xf numFmtId="0" fontId="1" fillId="0" borderId="0" xfId="0" applyFont="1" applyAlignment="1">
      <x:alignment vertical="bottom" wrapText="0"/>
    </x:xf>
    <x:xf numFmtId="0" fontId="2" fillId="0" borderId="0" xfId="0" applyFont="1" applyAlignment="1">
      <x:alignment vertical="bottom" wrapText="0"/>
    </x:xf>
    <x:xf numFmtId="0" fontId="3" fillId="2" borderId="1" xfId="0" applyFont="1" applyFill="1" applyBorder="1" applyAlignment="1">
      <x:alignment horizontal="center" vertical="center" wrapText="1"/>
    </x:xf>
    <x:xf numFmtId="0" fontId="4" fillId="3" borderId="1" xfId="0" applyFont="1" applyFill="1" applyBorder="1" applyAlignment="1">
      <x:alignment vertical="top" wrapText="1"/>
    </x:xf>
    <x:xf numFmtId="0" fontId="3" fillId="4" borderId="1" xfId="0" applyFont="1" applyFill="1" applyBorder="1" applyAlignment="1">
      <x:alignment vertical="bottom" wrapText="0"/>
    </x:xf>
    <x:xf numFmtId="0" fontId="5" fillId="4" borderId="1" xfId="0" applyFont="1" applyFill="1" applyBorder="1" applyAlignment="1">
      <x:alignment vertical="bottom" wrapText="0"/>
    </x:xf>
    <x:xf numFmtId="164" fontId="6" fillId="3" borderId="1" xfId="0" applyNumberFormat="1" applyFont="1" applyFill="1" applyBorder="1" applyAlignment="1">
      <x:alignment vertical="top" wrapText="0"/>
    </x:xf>
    <x:xf numFmtId="0" fontId="7" fillId="0" borderId="0" xfId="0" applyFont="1" applyAlignment="1">
      <x:alignment vertical="bottom" wrapText="0"/>
    </x:xf>
    <x:xf numFmtId="0" fontId="4" fillId="5" borderId="1" xfId="0" applyFont="1" applyFill="1" applyBorder="1" applyAlignment="1">
      <x:alignment vertical="top" wrapText="0"/>
    </x:xf>
    <x:xf numFmtId="0" fontId="8" fillId="0" borderId="0" xfId="0" applyFont="1" applyAlignment="1">
      <x:alignment vertical="bottom" wrapText="0"/>
    </x:xf>
    <x:xf numFmtId="164" fontId="6" fillId="5" borderId="1" xfId="0" applyNumberFormat="1" applyFont="1" applyFill="1" applyBorder="1" applyAlignment="1">
      <x:alignment vertical="top" wrapText="0"/>
    </x:xf>
    <x:xf numFmtId="0" fontId="4" fillId="6" borderId="1" xfId="0" applyFont="1" applyFill="1" applyBorder="1" applyAlignment="1">
      <x:alignment vertical="top" wrapText="0"/>
    </x:xf>
    <x:xf numFmtId="0" fontId="4" fillId="0" borderId="1" xfId="0" applyFont="1" applyBorder="1" applyAlignment="1">
      <x:alignment vertical="top" wrapText="0"/>
    </x:xf>
    <x:xf numFmtId="0" fontId="4" fillId="5" borderId="1" xfId="0" applyFont="1" applyFill="1" applyBorder="1" applyAlignment="1">
      <x:alignment vertical="top" wrapText="1"/>
    </x:xf>
    <x:xf numFmtId="0" fontId="4" fillId="0" borderId="1" xfId="0" applyFont="1" applyBorder="1" applyAlignment="1">
      <x:alignment vertical="top" wrapText="0"/>
    </x:xf>
    <x:xf numFmtId="164" fontId="6" fillId="0" borderId="1" xfId="0" applyNumberFormat="1" applyFont="1" applyBorder="1" applyAlignment="1">
      <x:alignment vertical="top" wrapText="0"/>
    </x:xf>
    <x:xf numFmtId="164" fontId="4" fillId="0" borderId="1" xfId="0" applyNumberFormat="1" applyFont="1" applyBorder="1" applyAlignment="1">
      <x:alignment vertical="top" wrapText="0"/>
    </x:xf>
    <x:xf numFmtId="0" fontId="9" fillId="3" borderId="1" xfId="0" applyFont="1" applyFill="1" applyBorder="1" applyAlignment="1">
      <x:alignment vertical="top" wrapText="0"/>
    </x:xf>
    <x:xf numFmtId="0" fontId="10" fillId="5" borderId="1" xfId="0" applyFont="1" applyFill="1" applyBorder="1" applyAlignment="1">
      <x:alignment vertical="top" wrapText="0"/>
    </x:xf>
    <x:xf numFmtId="0" fontId="4" fillId="5" borderId="1" xfId="0" applyFont="1" applyFill="1" applyBorder="1" applyAlignment="1">
      <x:alignment vertical="top" wrapText="1"/>
    </x:xf>
    <x:xf numFmtId="0" fontId="4" fillId="0" borderId="1" xfId="0" applyFont="1" applyBorder="1" applyAlignment="1">
      <x:alignment vertical="top" wrapText="1"/>
    </x:xf>
    <x:xf numFmtId="164" fontId="6" fillId="0" borderId="1" xfId="0" applyNumberFormat="1" applyFont="1" applyBorder="1" applyAlignment="1">
      <x:alignment vertical="top" wrapText="0"/>
    </x:xf>
    <x:xf numFmtId="0" fontId="11" fillId="0" borderId="1" xfId="0" applyFont="1" applyBorder="1" applyAlignment="1">
      <x:alignment vertical="top" wrapText="0"/>
    </x:xf>
    <x:xf numFmtId="0" fontId="4" fillId="7" borderId="1" xfId="0" applyFont="1" applyFill="1" applyBorder="1" applyAlignment="1">
      <x:alignment vertical="top" wrapText="0"/>
    </x:xf>
    <x:xf numFmtId="0" fontId="4" fillId="6" borderId="1" xfId="0" applyFont="1" applyFill="1" applyBorder="1" applyAlignment="1">
      <x:alignment vertical="top" wrapText="0"/>
    </x:xf>
    <x:xf numFmtId="0" fontId="12" fillId="0" borderId="1" xfId="0" applyFont="1" applyBorder="1" applyAlignment="1">
      <x:alignment vertical="top" wrapText="0"/>
    </x:xf>
    <x:xf numFmtId="0" fontId="13" fillId="0" borderId="1" xfId="0" applyFont="1" applyBorder="1" applyAlignment="1">
      <x:alignment vertical="top" wrapText="0"/>
    </x:xf>
    <x:xf numFmtId="0" fontId="4" fillId="7" borderId="1" xfId="0" applyFont="1" applyFill="1" applyBorder="1" applyAlignment="1">
      <x:alignment vertical="top" wrapText="0"/>
    </x:xf>
    <x:xf numFmtId="0" fontId="4" fillId="0" borderId="1" xfId="0" applyFont="1" applyBorder="1" applyAlignment="1">
      <x:alignment vertical="top" wrapText="1"/>
    </x:xf>
    <x:xf numFmtId="0" fontId="14" fillId="0" borderId="1" xfId="0" applyFont="1" applyBorder="1" applyAlignment="1">
      <x:alignment vertical="top" wrapText="0"/>
    </x:xf>
    <x:xf numFmtId="0" fontId="4" fillId="5" borderId="1" xfId="0" applyFont="1" applyFill="1" applyBorder="1" applyAlignment="1">
      <x:alignment horizontal="left" vertical="top" wrapText="0"/>
    </x:xf>
    <x:xf numFmtId="164" fontId="6" fillId="0" borderId="1" xfId="0" applyNumberFormat="1" applyFont="1" applyBorder="1" applyAlignment="1">
      <x:alignment horizontal="right" vertical="top" wrapText="0"/>
    </x:xf>
    <x:xf numFmtId="164" fontId="15" fillId="0" borderId="1" xfId="0" applyNumberFormat="1" applyFont="1" applyBorder="1" applyAlignment="1">
      <x:alignment horizontal="right" vertical="top" wrapText="0"/>
    </x:xf>
    <x:xf numFmtId="0" fontId="4" fillId="8" borderId="1" xfId="0" applyFont="1" applyFill="1" applyBorder="1" applyAlignment="1">
      <x:alignment vertical="top" wrapText="0"/>
    </x:xf>
    <x:xf numFmtId="164" fontId="6" fillId="8" borderId="1" xfId="0" applyNumberFormat="1" applyFont="1" applyFill="1" applyBorder="1" applyAlignment="1">
      <x:alignment vertical="top" wrapText="0"/>
    </x:xf>
    <x:xf numFmtId="164" fontId="4" fillId="8" borderId="1" xfId="0" applyNumberFormat="1" applyFont="1" applyFill="1" applyBorder="1" applyAlignment="1">
      <x:alignment vertical="top" wrapText="0"/>
    </x:xf>
    <x:xf numFmtId="0" fontId="4" fillId="8" borderId="1" xfId="0" applyFont="1" applyFill="1" applyBorder="1" applyAlignment="1">
      <x:alignment vertical="top" wrapText="0"/>
    </x:xf>
    <x:xf numFmtId="0" fontId="4" fillId="8" borderId="1" xfId="0" applyFont="1" applyFill="1" applyBorder="1" applyAlignment="1">
      <x:alignment vertical="top" wrapText="0"/>
    </x:xf>
    <x:xf numFmtId="0" fontId="16" fillId="5" borderId="0" xfId="0" applyFont="1" applyFill="1"/>
    <x:xf numFmtId="0" fontId="16" fillId="0" borderId="0" xfId="0" applyFont="1" applyAlignment="1"/>
    <x:xf numFmtId="0" fontId="4" fillId="5" borderId="1" xfId="0" applyFont="1" applyFill="1" applyBorder="1" applyAlignment="1">
      <x:alignment vertical="top" wrapText="0"/>
    </x:xf>
    <x:xf numFmtId="164" fontId="6" fillId="5" borderId="1" xfId="0" applyNumberFormat="1" applyFont="1" applyFill="1" applyBorder="1" applyAlignment="1">
      <x:alignment vertical="top" wrapText="0"/>
    </x:xf>
    <x:xf numFmtId="164" fontId="4" fillId="5" borderId="1" xfId="0" applyNumberFormat="1" applyFont="1" applyFill="1" applyBorder="1" applyAlignment="1">
      <x:alignment vertical="top" wrapText="0"/>
    </x:xf>
    <x:xf numFmtId="0" fontId="16" fillId="0" borderId="0" xfId="0" applyFont="1" applyAlignment="1">
      <x:alignment vertical="top"/>
    </x:xf>
    <x:xf numFmtId="0" fontId="17" fillId="0" borderId="0" xfId="0" applyFont="1" applyAlignment="1">
      <x:alignment vertical="bottom" wrapText="0"/>
    </x:xf>
    <x:xf numFmtId="0" fontId="18" fillId="5" borderId="1" xfId="0" applyFont="1" applyFill="1" applyBorder="1" applyAlignment="1">
      <x:alignment vertical="top" wrapText="0"/>
    </x:xf>
    <x:xf numFmtId="0" fontId="19" fillId="0" borderId="1" xfId="0" applyFont="1" applyBorder="1" applyAlignment="1">
      <x:alignment vertical="top" wrapText="0"/>
    </x:xf>
    <x:xf numFmtId="0" fontId="4" fillId="9" borderId="1" xfId="0" applyFont="1" applyFill="1" applyBorder="1" applyAlignment="1">
      <x:alignment vertical="top" wrapText="0"/>
    </x:xf>
    <x:xf numFmtId="0" fontId="4" fillId="9" borderId="1" xfId="0" applyFont="1" applyFill="1" applyBorder="1" applyAlignment="1">
      <x:alignment vertical="top" wrapText="1"/>
    </x:xf>
    <x:xf numFmtId="0" fontId="4" fillId="9" borderId="1" xfId="0" applyFont="1" applyFill="1" applyBorder="1" applyAlignment="1">
      <x:alignment vertical="top" wrapText="0"/>
    </x:xf>
    <x:xf numFmtId="164" fontId="6" fillId="9" borderId="1" xfId="0" applyNumberFormat="1" applyFont="1" applyFill="1" applyBorder="1" applyAlignment="1">
      <x:alignment vertical="top" wrapText="0"/>
    </x:xf>
    <x:xf numFmtId="164" fontId="4" fillId="9" borderId="1" xfId="0" applyNumberFormat="1" applyFont="1" applyFill="1" applyBorder="1" applyAlignment="1">
      <x:alignment vertical="top" wrapText="0"/>
    </x:xf>
    <x:xf numFmtId="0" fontId="5" fillId="9" borderId="1" xfId="0" applyFont="1" applyFill="1" applyBorder="1" applyAlignment="1">
      <x:alignment vertical="top" wrapText="0"/>
    </x:xf>
    <x:xf numFmtId="164" fontId="6" fillId="9" borderId="1" xfId="0" applyNumberFormat="1" applyFont="1" applyFill="1" applyBorder="1" applyAlignment="1">
      <x:alignment vertical="top" wrapText="0"/>
    </x:xf>
    <x:xf numFmtId="0" fontId="4" fillId="9" borderId="1" xfId="0" applyFont="1" applyFill="1" applyBorder="1" applyAlignment="1">
      <x:alignment vertical="top" wrapText="1"/>
    </x:xf>
    <x:xf numFmtId="0" fontId="20" fillId="0" borderId="0" xfId="0" applyFont="1" applyAlignment="1">
      <x:alignment vertical="bottom" wrapText="0"/>
    </x:xf>
    <x:xf numFmtId="164" fontId="20" fillId="10" borderId="2" xfId="0" applyNumberFormat="1" applyFont="1" applyFill="1" applyBorder="1" applyAlignment="1">
      <x:alignment vertical="bottom" wrapText="0"/>
    </x:xf>
    <x:xf numFmtId="0" fontId="16" fillId="6" borderId="0" xfId="0" applyFont="1" applyFill="1"/>
    <x:xf numFmtId="0" fontId="21" fillId="0" borderId="0" xfId="0" applyFont="1" applyAlignment="1"/>
    <x:xf numFmtId="0" fontId="4" fillId="0" borderId="0" xfId="0" applyFont="1" applyAlignment="1">
      <x:alignment vertical="bottom" wrapText="0"/>
    </x:xf>
    <x:xf numFmtId="164" fontId="6" fillId="11" borderId="2" xfId="0" applyNumberFormat="1" applyFont="1" applyFill="1" applyBorder="1" applyAlignment="1">
      <x:alignment vertical="bottom" wrapText="0"/>
    </x:xf>
    <x:xf numFmtId="0" fontId="16" fillId="11" borderId="0" xfId="0" applyFont="1" applyFill="1"/>
    <x:xf numFmtId="164" fontId="6" fillId="11" borderId="2" xfId="0" applyNumberFormat="1" applyFont="1" applyFill="1" applyBorder="1" applyAlignment="1">
      <x:alignment vertical="bottom" wrapText="0"/>
    </x:xf>
    <x:xf numFmtId="0" fontId="22" fillId="0" borderId="0" xfId="0" applyFont="1" applyAlignment="1"/>
    <x:xf numFmtId="0" fontId="22" fillId="0" borderId="0" xfId="0" applyFont="1"/>
    <x:xf numFmtId="0" fontId="4" fillId="0" borderId="0" xfId="0" applyFont="1"/>
    <x:xf numFmtId="0" fontId="23" fillId="2" borderId="0" xfId="0" applyFont="1" applyFill="1" applyAlignment="1"/>
    <x:xf numFmtId="0" fontId="23" fillId="2" borderId="0" xfId="0" applyFont="1" applyFill="1"/>
    <x:xf numFmtId="0" fontId="4" fillId="0" borderId="0" xfId="0" applyFont="1" applyAlignment="1"/>
    <x:xf numFmtId="0" fontId="16" fillId="0" borderId="0" xfId="0" applyFont="1" applyAlignment="1">
      <x:alignment horizontal="left" vertical="top"/>
    </x:xf>
    <x:xf numFmtId="0" fontId="4" fillId="0" borderId="1" xfId="0" applyFont="1" applyBorder="1" applyAlignment="1">
      <x:alignment horizontal="left" vertical="top" wrapText="1"/>
    </x:xf>
    <x:xf numFmtId="0" fontId="16" fillId="0" borderId="0" xfId="0" applyFont="1" applyAlignment="1">
      <x:alignment horizontal="left" vertical="top"/>
    </x:xf>
    <x:xf numFmtId="0" fontId="24" fillId="0" borderId="0" xfId="0" applyFont="1" applyAlignment="1">
      <x:alignment horizontal="left" vertical="top"/>
    </x:xf>
    <x:xf numFmtId="0" fontId="16" fillId="0" borderId="0" xfId="0" applyFont="1" applyAlignment="1"/>
    <x:xf numFmtId="0" fontId="25" fillId="0" borderId="1" xfId="0" applyNumberFormat="1" applyFont="1" applyFill="1" applyBorder="1" applyAlignment="1">
      <x:alignment vertical="top" wrapText="0"/>
    </x:xf>
    <x:xf numFmtId="0" fontId="25" fillId="0" borderId="1" xfId="0" applyNumberFormat="1" applyFont="1" applyFill="1" applyBorder="1" applyAlignment="1">
      <x:alignment vertical="top" wrapText="1"/>
    </x:xf>
    <x:xf numFmtId="0" fontId="26" fillId="0" borderId="1" xfId="0" applyNumberFormat="1" applyFont="1" applyFill="1" applyBorder="1" applyAlignment="1">
      <x:alignment vertical="top" wrapText="0"/>
    </x:xf>
    <x:xf numFmtId="0" fontId="26" fillId="0" borderId="1" xfId="0" applyNumberFormat="1" applyFont="1" applyFill="1" applyBorder="1" applyAlignment="1">
      <x:alignment vertical="top" wrapText="1"/>
    </x:xf>
    <x:xf numFmtId="0" fontId="0" fillId="0" borderId="0" xfId="0" applyNumberFormat="1" applyFont="1" applyFill="1" applyBorder="1" applyAlignment="1">
      <x:alignment vertical="bottom" wrapText="1"/>
    </x:xf>
    <x:xf numFmtId="0" fontId="16" fillId="0" borderId="0" xfId="0" applyNumberFormat="1" applyFont="1" applyFill="1" applyBorder="1" applyAlignment="1">
      <x:alignment wrapText="1"/>
    </x:xf>
    <x:xf numFmtId="0" fontId="0" fillId="0" borderId="0" xfId="0" applyNumberFormat="1" applyFont="1" applyFill="1" applyBorder="1" applyAlignment="1">
      <x:alignment horizontal="left" vertical="bottom" wrapText="1"/>
    </x:xf>
    <x:xf numFmtId="0" fontId="16" fillId="0" borderId="0" xfId="0" applyNumberFormat="1" applyFont="1" applyFill="1" applyBorder="1" applyAlignment="1">
      <x:alignment horizontal="left" wrapText="1"/>
    </x:xf>
    <x:xf numFmtId="0" fontId="25" fillId="5" borderId="1" xfId="0" applyNumberFormat="1" applyFont="1" applyFill="1" applyBorder="1" applyAlignment="1">
      <x:alignment vertical="top" wrapText="0"/>
    </x:xf>
    <x:xf numFmtId="0" fontId="25" fillId="5" borderId="1" xfId="0" applyNumberFormat="1" applyFont="1" applyFill="1" applyBorder="1" applyAlignment="1">
      <x:alignment vertical="top" wrapText="1"/>
    </x:xf>
    <x:xf numFmtId="0" fontId="25" fillId="3" borderId="1" xfId="0" applyNumberFormat="1" applyFont="1" applyFill="1" applyBorder="1" applyAlignment="1">
      <x:alignment vertical="top" wrapText="0"/>
    </x:xf>
    <x:xf numFmtId="0" fontId="25"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7882568deb4d68" /><Relationship Type="http://schemas.openxmlformats.org/officeDocument/2006/relationships/theme" Target="/xl/theme/theme1.xml" Id="Ra4a1875522914b42" /><Relationship Type="http://schemas.openxmlformats.org/officeDocument/2006/relationships/sharedStrings" Target="/xl/sharedStrings.xml" Id="Raa893ef6700c42f5" /><Relationship Type="http://schemas.openxmlformats.org/officeDocument/2006/relationships/worksheet" Target="/xl/worksheets/sheet1.xml" Id="R853ffc1c6cc242b7" /><Relationship Type="http://schemas.openxmlformats.org/officeDocument/2006/relationships/worksheet" Target="/xl/worksheets/sheet2.xml" Id="R0d56fbd8d3104cc0" /><Relationship Type="http://schemas.openxmlformats.org/officeDocument/2006/relationships/worksheet" Target="/xl/worksheets/sheet3.xml" Id="Rf2060bf0af70434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modulemore.com/en/product/524/&#3648;&#3595;&#3629;&#3619;&#3660;&#3650;&#3623;-0-180-&#3629;&#3591;&#3624;&#3634;-mg996r-servo-robot-&#3619;&#3640;&#3656;&#3609;&#3629;&#3633;&#3614;&#3648;&#3585;&#3619;&#3604;&#3592;&#3634;&#3585;-mg995-&#3648;&#3615;&#3639;&#3629;&#3591;&#3650;&#3621;&#3627;&#3632;&#3621;&#3657;&#3623;&#3609;" TargetMode="External" Id="R95746a1ed00c4533" /><Relationship Type="http://schemas.openxmlformats.org/officeDocument/2006/relationships/hyperlink" Target="https://www.cybertice.com/product/935/sg90-micro-servo-motor-&#3649;&#3610;&#3610;-&#3627;&#3617;&#3640;&#3609;360&#3629;&#3591;&#3624;&#3634;&#3605;&#3656;&#3629;&#3648;&#3609;&#3639;&#3656;&#3629;&#3591;" TargetMode="External" Id="R469db7e4eccb4703" /><Relationship Type="http://schemas.openxmlformats.org/officeDocument/2006/relationships/hyperlink" Target="https://www.modulemore.com/product/9/pca9685-16-channel-pwm-servo-driver" TargetMode="External" Id="R93861c195ad1433f" /><Relationship Type="http://schemas.openxmlformats.org/officeDocument/2006/relationships/hyperlink" Target="https://www.cybertice.com/product/4718/inmp441-&#3650;&#3617;&#3604;&#3641;&#3621;&#3652;&#3617;&#3650;&#3588;&#3619;&#3650;&#3615;&#3609;&#3619;&#3629;&#3610;&#3607;&#3636;&#3624;&#3607;&#3634;&#3591;-omnidirectional-microphone-module-i2s-interface-mems" TargetMode="External" Id="Rd395f8488f274a5e" /><Relationship Type="http://schemas.openxmlformats.org/officeDocument/2006/relationships/hyperlink" Target="https://www.cybertice.com/product/190/wh148-&#3605;&#3633;&#3623;&#3605;&#3657;&#3634;&#3609;&#3607;&#3634;&#3609;&#3611;&#3619;&#3633;&#3610;&#3588;&#3656;&#3634;&#3652;&#3604;&#3657;-10k-ohm-b10k-volume-vr-potentiometer-variable-resistor" TargetMode="External" Id="Re4cff48ed6254a0a" /><Relationship Type="http://schemas.openxmlformats.org/officeDocument/2006/relationships/hyperlink" Target="https://www.duraprothai.com/product/193478-191425/6806zz-&#3605;&#3621;&#3633;&#3610;&#3621;&#3641;&#3585;&#3611;&#3639;&#3609;&#3648;&#3617;&#3655;&#3604;&#3585;&#3621;&#3617;&#3619;&#3656;&#3629;&#3591;&#3621;&#3638;&#3585;-deep-groove-ball-bearing-30x42x7-mm" TargetMode="External" Id="Rbc0d35d2493b4b16" /><Relationship Type="http://schemas.openxmlformats.org/officeDocument/2006/relationships/hyperlink" Target="https://siamreprap.bentoweb.com/th/product/1319033/clear-petg-Polylite-Polymaker?page=1&amp;sort=order-by-stock&amp;category_id=139291" TargetMode="External" Id="Rf253b7b3c2a34c47" /><Relationship Type="http://schemas.openxmlformats.org/officeDocument/2006/relationships/hyperlink" Target="https://shopee.co.th/&#3649;&#3610;&#3605;&#3648;&#3605;&#3629;&#3619;&#3637;&#3656;-Lipo-3S-11.1V-2200mah-35C-&#3626;&#3635;&#3627;&#3619;&#3633;&#3610;-&#3619;&#3606;&#3610;&#3633;&#3591;&#3588;&#3633;&#3610;-&#3648;&#3619;&#3639;&#3629;-&#3648;&#3588;&#3619;&#3639;&#3656;&#3629;&#3591;&#3610;&#3636;&#3609;-&#3650;&#3604;&#3619;&#3609;-i.17068752.18734467964" TargetMode="External" Id="R231502d9299a4296" /><Relationship Type="http://schemas.openxmlformats.org/officeDocument/2006/relationships/hyperlink" Target="https://www.cybertice.com/product/3656/&#3650;&#3617;&#3604;&#3641;&#3621;&#3649;&#3611;&#3621;&#3591;&#3649;&#3619;&#3591;&#3604;&#3633;&#3609;&#3621;&#3591;-20a-300w-step-down-buck-converter-6-40v-to-1-2-35v" TargetMode="External" Id="R1001b52db2e74264" /><Relationship Type="http://schemas.openxmlformats.org/officeDocument/2006/relationships/hyperlink" Target="https://www.arduitronics.com/product/3673/step-down-module-sy8205-&#3649;&#3611;&#3621;&#3591;&#3652;&#3615;&#3592;&#3634;&#3585;-7-24v-&#3648;&#3611;&#3655;&#3609;-5v-&#3585;&#3619;&#3632;&#3649;&#3626;&#3626;&#3641;&#3591;&#3626;&#3640;&#3604;-5a-&#3649;&#3606;&#3617;&#3615;&#3619;&#3637;-pin-headers" TargetMode="External" Id="Rb9077475296f47e9" /><Relationship Type="http://schemas.openxmlformats.org/officeDocument/2006/relationships/hyperlink" Target="https://shopee.co.th/(1&#3594;&#3636;&#3657;&#3609;)-NA019-&#3650;&#3617;&#3604;&#3641;&#3621;&#3649;&#3611;&#3621;&#3591;&#3619;&#3632;&#3604;&#3633;&#3610;&#3626;&#3633;&#3597;&#3597;&#3634;&#3603;-logic-4-&#3594;&#3656;&#3629;&#3591;-i2c-5v-&#3648;&#3611;&#3655;&#3609;-3.3v-2-&#3594;&#3656;&#3629;&#3591;-IIC-I2C-Logic-Level-Converter-Bi-Directional-...-i.944231623.20981723574?extraParams={&quot;display_model_id&quot;%3A146929195890%2C&quot;model_selection_logic&quot;%3A3}" TargetMode="External" Id="R44cff55095ce4005" /><Relationship Type="http://schemas.openxmlformats.org/officeDocument/2006/relationships/hyperlink" Target="https://shopee.co.th/-ZY02-TH-X-Hex-Socket-Head-Cap-Machine-Screw-DIN912-&#3609;&#3655;&#3629;&#3605;&#3604;&#3635;-&#3627;&#3633;&#3623;&#3592;&#3617;-M1.6-M5-&#3648;&#3585;&#3619;&#3604;-12.9-&#3649;&#3586;&#3655;&#3591;&#3614;&#3636;&#3648;&#3624;&#3625;-&#3626;&#3585;&#3619;&#3641;&#3594;&#3640;&#3610;&#3649;&#3586;&#3655;&#3591;&#3604;&#3635;-&#3648;&#3585;&#3621;&#3637;&#3618;&#3623;&#3617;&#3636;&#3621;-i.1381664208.28715459761" TargetMode="External" Id="Rf4257f9c74b8470f" /><Relationship Type="http://schemas.openxmlformats.org/officeDocument/2006/relationships/hyperlink" Target="https://shopee.co.th/product/1573566645/40768757159?gads_t_sig=gqRjZGVrxHCFomtpsTE0MjUxOnRzc19zZGtfa2V5omt20QABpGFsZ2_SAAAAZKNkZWvAomN0xEAAAAAMHJtu46N4YL1ETOwWAbpdPCpoOnQDXHQJ5OvtcN0M_eDbRA41r_846ydnLzTRf_samdRHEh2GSlumtjiKqmNpcGhlcnRleHTEcwAAAAyf1EZCOhKfoy5Po0hmXQD0aUAu6siiWZhqufSsTbB8xptyPqKit96TL1d1HJ93_N51klxqFFdvRMZoYTfGnpPil5eFgwtTs_KrEgGq8m9RDejGNJljlrGWMNI65ajnwnInox36AJ2jgnxbGIKFnzM&amp;gad_source=1&amp;gad_campaignid=23289813561&amp;gbraid=0AAAAADPpYO097v21Jrb6EK5dI9IcOubGK&amp;gclid=CjwKCAjws_DTBhB_EiwAXZknGcZRjGMzHSJ9JxUSw8x4ZoW-Jj3-23y75TrLvdriDnc5P9QCWYimnRoCKhEQAvD_BwE" TargetMode="External" Id="Rd0ecbb4684c345db" /><Relationship Type="http://schemas.openxmlformats.org/officeDocument/2006/relationships/hyperlink" Target="https://shopee.co.th/20-JCY-1210-SET-&#3629;&#3649;&#3604;&#3611;&#3648;&#3605;&#3629;&#3619;&#3660;-&#3629;&#3632;&#3649;&#3604;&#3611;&#3648;&#3605;&#3629;&#3619;&#3660;-adapter-12v-10a-i.12149540.3343064258?extraParams={&quot;display_model_id&quot;%3A21314299192%2C&quot;model_selection_logic&quot;%3A3}" TargetMode="External" Id="R7eaf1f551c854673" /><Relationship Type="http://schemas.openxmlformats.org/officeDocument/2006/relationships/hyperlink" Target="https://th.cytron.io/p-dc-jack-female-to-screw-terminal-adapter?srsltid=AfmBOooZ0fJsOaUN9Vt5VGU-yDHT_mCEb6We19OG8Kgl22wuH2UfF6L0" TargetMode="External" Id="Rd89665274c434eef" /><Relationship Type="http://schemas.openxmlformats.org/officeDocument/2006/relationships/hyperlink" Target="https://s2ins.com/product/screw-terminal-block-12ch-tb1512-15a-600v/?srsltid=AfmBOooGqscNpQkGKeeOabpHUww4V4BMNUKeMjwE43eZqrbvFBfniTAI" TargetMode="External" Id="R8eda56a10fbf4ea9" /><Relationship Type="http://schemas.openxmlformats.org/officeDocument/2006/relationships/hyperlink" Target="https://shopee.co.th/product/428425779/27982717310?gads_t_sig=gqRjZGVrxHCFomtpsTE0MjUxOnRzc19zZGtfa2V5omt20QABpGFsZ2_SAAAAZKNkZWvAomN0xEAAAAAMHJtu46N4YL1ETOwWAbpdPCpoOnQDXHQJ5OvtcN0M_eDbRA41r_846ydnLzTRf_samdRHEh2GSlumtjiKqmNpcGhlcnRleHTEcQAAAAyWPaaEk-BgdWrYbtWEM-Q7kllFgo61qhtdXnQTp8c9HujkhjcWP8vjXnmQm0svmh3SEFm9NI30aN2TAqVip8YZ_kIYgrl8rrdPH52F0f1pOoBM1rn7uLMhNffqBGggkDif1t3WC4p7AAhGkyVR&amp;gad_source=1&amp;gad_campaignid=23984614920&amp;gbraid=0AAAAADPpYO0i5aQa7XVQuxFa5p-PY4rSO" TargetMode="External" Id="R3567ee43431347bc" /><Relationship Type="http://schemas.openxmlformats.org/officeDocument/2006/relationships/hyperlink" Target="https://shopee.co.th/&#3626;&#3634;&#3618;&#3652;&#3615;&#3595;&#3636;&#3621;&#3636;&#3650;&#3588;&#3609;-&#3626;&#3634;&#3618;&#3652;&#3615;&#3607;&#3629;&#3591;&#3649;&#3604;&#3591;-100-&#3649;&#3607;&#3657;-&#3626;&#3634;&#3618;&#3629;&#3656;&#3629;&#3609;-&#3607;&#3609;&#3588;&#3623;&#3634;&#3617;&#3619;&#3657;&#3629;&#3609;&#3626;&#3641;&#3591;-8awg-10awg-12awg-14awg-16awg-18awg-20awg-Silicone-200&#3629;&#3591;&#3624;&#3634;-i.368104632.19578423924?extraParams={&quot;display_model_id&quot;%3A214203114596%2C&quot;model_selection_logic&quot;%3A2}" TargetMode="External" Id="R8f14e5c0a8e64dfa" /><Relationship Type="http://schemas.openxmlformats.org/officeDocument/2006/relationships/hyperlink" Target="https://shopee.co.th/product/312289360/12295248404?gads_t_sig=gqRjZGVrxHCFomtpsTE0MjUxOnRzc19zZGtfa2V5omt20QABpGFsZ2_SAAAAZKNkZWvAomN0xEAAAAAMHJtu46N4YL1ETOwWAbpdPCpoOnQDXHQJ5OvtcN0M_eDbRA41r_846ydnLzTRf_samdRHEh2GSlumtjiKqmNpcGhlcnRleHTEcQAAAAyWwazsQ9Rz4DgpsH6txVagosqhUg7VEh4XRsrlLiOJlOfSbTpD_Dx9VCtMeDRRTSoqmBGiPixxyt5NLwt7lQIjzXA2mln3LOfte3gF5eesbn2GhOleIw5kS8MYirHBDItEC6HNz0gZW0rmJYht&amp;gad_source=1&amp;gad_campaignid=21088076551&amp;gbraid=0AAAAADPpYO1AqV_0ZlTeLCwhqx8BjfbbM&amp;gclid=CjwKCAjws_DTBhB_EiwAXZknGTiEBBJ8Zdxs6kYTZqPAjPqWfiTV3E761hlCb25ZBMSSuSk9olrf-RoCu-cQAvD_BwE" TargetMode="External" Id="Rbbf0f07f87084566" /><Relationship Type="http://schemas.openxmlformats.org/officeDocument/2006/relationships/hyperlink" Target="https://shopee.co.th/&#3626;&#3634;&#3618;-Micro-USB-Type-B-to-USB-2.0-Type-A-&#3618;&#3634;&#3623;-50CM-&#3617;&#3637;&#3626;&#3636;&#3609;&#3588;&#3657;&#3634;&#3651;&#3609;&#3652;&#3639;&#3609;&#3614;&#3619;&#3657;&#3629;&#3617;&#3626;&#3656;&#3591;&#3607;&#3640;&#3585;&#3623;&#3633;&#3609;-i.755103386.28367373991?extraParams={&quot;display_model_id&quot;%3A247012221769%2C&quot;model_selection_logic&quot;%3A3}" TargetMode="External" Id="R62863cccef0e417a" /><Relationship Type="http://schemas.openxmlformats.org/officeDocument/2006/relationships/hyperlink" Target="https://shopee.co.th/10M-Heat-Shrink-Tube-2-1-Polyolefin-Diameter-0.6mm-0.8mm-1mm-1.5mm-2mm-2.5mm-3mm-&#3627;&#3604;&#3588;&#3623;&#3634;&#3617;&#3619;&#3657;&#3629;&#3609;&#3627;&#3621;&#3629;&#3604;-&#3650;&#3614;&#3621;&#3637;&#3650;&#3621;&#3615;&#3636;&#3609;&#3648;&#3626;&#3657;&#3609;&#3612;&#3656;&#3634;&#3609;&#3624;&#3641;&#3609;&#3618;&#3660;&#3585;&#3621;&#3634;&#3591;-&#3588;&#3623;&#3634;&#3617;&#3619;&#3657;&#3629;&#3609;&#3626;&#3634;&#3618;&#3649;&#3586;&#3609;&#3593;&#3609;&#3623;&#3609;&#3621;&#3623;&#3604;&#3611;&#3657;&#3629;&#3591;&#3585;&#3633;&#3609;&#3627;&#3656;&#3629;-&#3607;&#3661;&#3634;&#3648;&#3629;&#3591;-&#3648;&#3594;&#3639;&#3656;&#3629;&#3617;&#3595;-i.499304526.28601161835" TargetMode="External" Id="R72e4445fba5a4183" /><Relationship Type="http://schemas.openxmlformats.org/officeDocument/2006/relationships/hyperlink" Target="https://www.modulemore.com/en/category/43/jumper-connector-protoboard" TargetMode="External" Id="Rfb518fa9cc46469a" /><Relationship Type="http://schemas.openxmlformats.org/officeDocument/2006/relationships/hyperlink" Target="https://www.cybertice.com/product/5590/&#3648;&#3588;&#3619;&#3639;&#3656;&#3629;&#3591;&#3594;&#3634;&#3619;&#3660;&#3592;&#3649;&#3610;&#3605;&#3648;&#3605;&#3629;&#3619;&#3637;&#3656;&#3621;&#3636;&#3648;&#3608;&#3637;&#3618;&#3617;&#3594;&#3634;&#3619;&#3660;&#3592;&#3611;&#3619;&#3632;&#3592;&#3640;&#3585;&#3619;&#3632;&#3649;&#3626;&#3626;&#3641;&#3591;&#3652;&#3604;&#3657;&#3629;&#3618;&#3656;&#3634;&#3591;&#3619;&#3623;&#3604;&#3648;&#3619;&#3655;&#3623;-lipo-imax-rc-b3-20w-2s-3s-7-4v-11-1v" TargetMode="External" Id="Rf27afd48d52d4a13" /><Relationship Type="http://schemas.openxmlformats.org/officeDocument/2006/relationships/hyperlink" Target="https://www.vongjorn.com/product/5207/emergency-stop-button-lay37-11zs-1no-1nc" TargetMode="External" Id="Redb49c3dbaef48fa" /></Relationships>
</file>

<file path=xl/worksheets/_rels/sheet2.xml.rels>&#65279;<?xml version="1.0" encoding="utf-8"?><Relationships xmlns="http://schemas.openxmlformats.org/package/2006/relationships"><Relationship Type="http://schemas.openxmlformats.org/officeDocument/2006/relationships/hyperlink" Target="https://www.modulemore.com/en/product/524/mg996r-servo" TargetMode="External" Id="Rf948f701cba24239" /><Relationship Type="http://schemas.openxmlformats.org/officeDocument/2006/relationships/hyperlink" Target="https://www.cybertice.com/product/63/mg996r-servo-motor" TargetMode="External" Id="R7df53abb8c524d82" /><Relationship Type="http://schemas.openxmlformats.org/officeDocument/2006/relationships/hyperlink" Target="https://www.arduitronics.com/product/440/high-torque-servo-motor-mg996r-tower-pro-180-degree" TargetMode="External" Id="R2e8328b7776c4830" /><Relationship Type="http://schemas.openxmlformats.org/officeDocument/2006/relationships/hyperlink" Target="https://shopee.co.th/search?keyword=INMP441 I2S microphone module" TargetMode="External" Id="R15fb115228474ab5" /><Relationship Type="http://schemas.openxmlformats.org/officeDocument/2006/relationships/hyperlink" Target="https://www.cybertice.com/product/62/sg90-micro-servo-9g" TargetMode="External" Id="Ra873f44d2d164e47" /><Relationship Type="http://schemas.openxmlformats.org/officeDocument/2006/relationships/hyperlink" Target="https://shopee.co.th/search?keyword=INMP441 I2S microphone module" TargetMode="External" Id="Rf8b0b74d3b974fd7" /><Relationship Type="http://schemas.openxmlformats.org/officeDocument/2006/relationships/hyperlink" Target="https://www.modulemore.com/product/9/pca9685-16-channel-pwm-servo-driver" TargetMode="External" Id="R7ed951fc30734144" /><Relationship Type="http://schemas.openxmlformats.org/officeDocument/2006/relationships/hyperlink" Target="https://www.modulemore.com/product/9/pca9685-16-channel-pwm-servo-driver" TargetMode="External" Id="Rccc9eb2f3ea04d49" /><Relationship Type="http://schemas.openxmlformats.org/officeDocument/2006/relationships/hyperlink" Target="https://www.analogread.com/product/612/pca9685-16ch-servo-driver" TargetMode="External" Id="R41d14bcdc2744f13" /><Relationship Type="http://schemas.openxmlformats.org/officeDocument/2006/relationships/hyperlink" Target="http://www.udshobby.com/category/27/battery/3s-11-1v" TargetMode="External" Id="R9cfcd2af1fd7463c" /><Relationship Type="http://schemas.openxmlformats.org/officeDocument/2006/relationships/hyperlink" Target="http://www.udshobby.com/product/27/lipo-maniax-2200mah-11-1v-3s-30c-xt60" TargetMode="External" Id="R91ec69199e864833" /><Relationship Type="http://schemas.openxmlformats.org/officeDocument/2006/relationships/hyperlink" Target="http://www.udshobby.com/category/27/battery/3s-11-1v" TargetMode="External" Id="R3fe02c8004514e00" /><Relationship Type="http://schemas.openxmlformats.org/officeDocument/2006/relationships/hyperlink" Target="https://shopee.co.th/search?keyword=LM2596 step down module" TargetMode="External" Id="Rb8d87cc68fef40d0" /><Relationship Type="http://schemas.openxmlformats.org/officeDocument/2006/relationships/hyperlink" Target="https://shopee.co.th/search?keyword=LM2596 step down module" TargetMode="External" Id="Rd6fda5572f6c4abe" /><Relationship Type="http://schemas.openxmlformats.org/officeDocument/2006/relationships/hyperlink" Target="https://shopee.co.th/search?keyword=XL4016 300W 20A buck converter" TargetMode="External" Id="R46e22385bb78406b" /><Relationship Type="http://schemas.openxmlformats.org/officeDocument/2006/relationships/hyperlink" Target="https://shopee.co.th/search?keyword=LM2596 step down module" TargetMode="External" Id="Rbadc2e337c4b4f04" /><Relationship Type="http://schemas.openxmlformats.org/officeDocument/2006/relationships/hyperlink" Target="https://shopee.co.th/search?keyword=SY8205 5V 5A step down" TargetMode="External" Id="R3090f22d12524465" /><Relationship Type="http://schemas.openxmlformats.org/officeDocument/2006/relationships/hyperlink" Target="https://shopee.co.th/search?keyword=SY8205 5V 5A step down" TargetMode="External" Id="Rffac294d81404dcd" /><Relationship Type="http://schemas.openxmlformats.org/officeDocument/2006/relationships/hyperlink" Target="https://shopee.co.th/search?keyword=emergency stop switch 22mm latching" TargetMode="External" Id="R2c7101cd8da448f9" /><Relationship Type="http://schemas.openxmlformats.org/officeDocument/2006/relationships/hyperlink" Target="https://shopee.co.th/search?keyword=emergency stop switch 22mm latching" TargetMode="External" Id="Rdaaaea0e79794052" /><Relationship Type="http://schemas.openxmlformats.org/officeDocument/2006/relationships/hyperlink" Target="https://www.pt-automationparts.com/en/category/94/limit-switch" TargetMode="External" Id="R893f91a497344de5" /><Relationship Type="http://schemas.openxmlformats.org/officeDocument/2006/relationships/hyperlink" Target="https://shopee.co.th/search?keyword=relay 12v 30a automotive socket" TargetMode="External" Id="Ra8108c02f7064488" /><Relationship Type="http://schemas.openxmlformats.org/officeDocument/2006/relationships/hyperlink" Target="https://shopee.co.th/search?keyword=relay 12v 30a automotive socket" TargetMode="External" Id="Rfda739e6a56a49f7" /><Relationship Type="http://schemas.openxmlformats.org/officeDocument/2006/relationships/hyperlink" Target="https://shopee.co.th/search?keyword=relay 12v 30a automotive socket" TargetMode="External" Id="R0afdcfd3f7204b14" /><Relationship Type="http://schemas.openxmlformats.org/officeDocument/2006/relationships/hyperlink" Target="https://www.modulemore.com/en/category/122/limit-switch-sensor" TargetMode="External" Id="Refd9032b11ba4e4c" /><Relationship Type="http://schemas.openxmlformats.org/officeDocument/2006/relationships/hyperlink" Target="https://www.modulemore.com/en/category/122/limit-switch-sensor" TargetMode="External" Id="Re8edb497221a4da3" /><Relationship Type="http://schemas.openxmlformats.org/officeDocument/2006/relationships/hyperlink" Target="https://www.pt-automationparts.com/en/category/94/limit-switch" TargetMode="External" Id="R68a6cd7c49dc46a6" /><Relationship Type="http://schemas.openxmlformats.org/officeDocument/2006/relationships/hyperlink" Target="https://www.ab.in.th/category/41/accessories/breadboard" TargetMode="External" Id="R6358926ad9cd45c2" /><Relationship Type="http://schemas.openxmlformats.org/officeDocument/2006/relationships/hyperlink" Target="https://www.modulemore.com/en/product/37/breadboard-mb102-830-tie-points-solderless" TargetMode="External" Id="R1d4e173eaa7d43fd" /><Relationship Type="http://schemas.openxmlformats.org/officeDocument/2006/relationships/hyperlink" Target="https://shopee.co.th/search?keyword=breadboard MB-102 830" TargetMode="External" Id="Rcd7379b282af4075" /><Relationship Type="http://schemas.openxmlformats.org/officeDocument/2006/relationships/hyperlink" Target="https://www.modulemore.com/en/product/34/jumper-breadboard-65" TargetMode="External" Id="R415c5e8480e44fd9" /><Relationship Type="http://schemas.openxmlformats.org/officeDocument/2006/relationships/hyperlink" Target="https://www.modulemore.com/en/category/43/jumper-connector-protoboard" TargetMode="External" Id="R6c335e7f5ba54b86" /><Relationship Type="http://schemas.openxmlformats.org/officeDocument/2006/relationships/hyperlink" Target="https://www.modulemore.com/product/2871/840pcs-breadboard-jumper-wire-kit-u-shape" TargetMode="External" Id="R6ac4849a23e147a1" /><Relationship Type="http://schemas.openxmlformats.org/officeDocument/2006/relationships/hyperlink" Target="https://shopee.co.th/search?keyword=PETG filament 1kg 1.75mm" TargetMode="External" Id="R23a3ccd17cfc4e80" /><Relationship Type="http://schemas.openxmlformats.org/officeDocument/2006/relationships/hyperlink" Target="https://www.siamreprap.com/product-category/filament/" TargetMode="External" Id="Rd140ed5ee2364f4b" /><Relationship Type="http://schemas.openxmlformats.org/officeDocument/2006/relationships/hyperlink" Target="https://www.siamreprap.com/product-category/filament/" TargetMode="External" Id="R26db3ba874304966" /><Relationship Type="http://schemas.openxmlformats.org/officeDocument/2006/relationships/hyperlink" Target="https://www.lazada.co.th/products/m2-m25-m3-m4-m5-m6-304-din912-hex-socket-head-cap-machine-screw-i4250262580.html" TargetMode="External" Id="Redd8fdf38a5a4445" /><Relationship Type="http://schemas.openxmlformats.org/officeDocument/2006/relationships/hyperlink" Target="https://www.screwthai.co.th/" TargetMode="External" Id="Rd4fc4849e97741d9" /><Relationship Type="http://schemas.openxmlformats.org/officeDocument/2006/relationships/hyperlink" Target="https://www.remothai.com/category/11/" TargetMode="External" Id="Rb6a83b4b235b432b" /><Relationship Type="http://schemas.openxmlformats.org/officeDocument/2006/relationships/hyperlink" Target="https://shopee.co.th/search?keyword=6806ZZ bearing 30x42x7" TargetMode="External" Id="R3049d805a9ed48c9" /><Relationship Type="http://schemas.openxmlformats.org/officeDocument/2006/relationships/hyperlink" Target="https://shopee.co.th/search?keyword=6806ZZ bearing 30x42x7" TargetMode="External" Id="R46f7faf2799840ef" /></Relationships>
</file>

<file path=xl/worksheets/_rels/sheet3.xml.rels>&#65279;<?xml version="1.0" encoding="utf-8"?><Relationships xmlns="http://schemas.openxmlformats.org/package/2006/relationships"><Relationship Type="http://schemas.openxmlformats.org/officeDocument/2006/relationships/hyperlink" Target="https://shopee.co.th/search?keyword=silicone wire 14awg 18awg" TargetMode="External" Id="R5c599f66061d42d2" /><Relationship Type="http://schemas.openxmlformats.org/officeDocument/2006/relationships/hyperlink" Target="https://shopee.co.th/search?keyword=relay 12v 30a automotive socket" TargetMode="External" Id="R425da270d0884f05" /><Relationship Type="http://schemas.openxmlformats.org/officeDocument/2006/relationships/hyperlink" Target="https://www.lazada.co.th/products/m2-m25-m3-m4-m5-m6-304-din912-hex-socket-head-cap-machine-screw-i4250262580.html" TargetMode="External" Id="R4d471eaa90e44b74" /><Relationship Type="http://schemas.openxmlformats.org/officeDocument/2006/relationships/hyperlink" Target="https://www.lazada.co.th/products/m2-m25-m3-m4-m5-m6-304-din912-hex-socket-head-cap-machine-screw-i4250262580.html" TargetMode="External" Id="Rb46b4dd8c52e4e63" /><Relationship Type="http://schemas.openxmlformats.org/officeDocument/2006/relationships/hyperlink" Target="https://shopee.co.th/search?keyword=DS3218 20kg servo" TargetMode="External" Id="R6f7b514d325947bc" /><Relationship Type="http://schemas.openxmlformats.org/officeDocument/2006/relationships/hyperlink" Target="https://www.siamreprap.com/product-category/filament/" TargetMode="External" Id="R4114b09249a34164" /><Relationship Type="http://schemas.openxmlformats.org/officeDocument/2006/relationships/hyperlink" Target="https://www.remothai.com/category/11/" TargetMode="External" Id="Re8e889a272354d3e" /><Relationship Type="http://schemas.openxmlformats.org/officeDocument/2006/relationships/hyperlink" Target="https://shopee.co.th/search?keyword=BSS138 i2c level shifter 4 channel" TargetMode="External" Id="Re06ee86e49ce4b61" /><Relationship Type="http://schemas.openxmlformats.org/officeDocument/2006/relationships/hyperlink" Target="https://www.cybertice.com/" TargetMode="External" Id="R4270d7814ac74bc9" /><Relationship Type="http://schemas.openxmlformats.org/officeDocument/2006/relationships/hyperlink" Target="http://www.udshobby.com/category/27/battery/3s-11-1v" TargetMode="External" Id="R89308f919e2d43a4" /><Relationship Type="http://schemas.openxmlformats.org/officeDocument/2006/relationships/hyperlink" Target="https://shopee.co.th/search?keyword=wooden blocks cube color" TargetMode="External" Id="Rcc3fb525439944f3" /><Relationship Type="http://schemas.openxmlformats.org/officeDocument/2006/relationships/hyperlink" Target="https://shopee.co.th/search?keyword=INMP441 I2S microphone module" TargetMode="External" Id="R5c5bfe71c4dc40f6" /></Relationships>
</file>

<file path=xl/worksheets/sheet1.xml><?xml version="1.0" encoding="utf-8"?>
<x:worksheet xmlns:x="http://schemas.openxmlformats.org/spreadsheetml/2006/main">
  <x:sheetFormatPr defaultColWidth="14.430000305175781" defaultRowHeight="15"/>
  <x:cols>
    <x:col min="1" max="1" width="4" customWidth="1"/>
    <x:col min="2" max="2" width="50.13999938964844" customWidth="1"/>
    <x:col min="3" max="3" width="74.70999908447266" customWidth="1"/>
    <x:col min="4" max="4" width="6" customWidth="1"/>
    <x:col min="5" max="6" width="12" customWidth="1"/>
    <x:col min="7" max="7" width="16" customWidth="1"/>
    <x:col min="8" max="8" width="11" customWidth="1"/>
    <x:col min="9" max="9" width="16.860000610351562" customWidth="1"/>
    <x:col min="10" max="13" width="8.710000038146973" customWidth="1"/>
    <x:col min="14" max="14" width="15" customWidth="1"/>
    <x:col min="15" max="15" width="12.859999656677246" customWidth="1"/>
    <x:col min="16" max="26" width="8.710000038146973" customWidth="1"/>
  </x:cols>
  <x:sheetData>
    <x:row r="1">
      <x:c r="A1" s="9" t="s">
        <x:v>0</x:v>
      </x:c>
    </x:row>
    <x:row r="2">
      <x:c r="A2" s="11" t="str">
        <x:v>Microcontroller Project · Third Year Computer Engineering · Budget cap ฿5,000 · Updated 8 September 2026</x:v>
      </x:c>
    </x:row>
    <x:row r="4">
      <x:c r="A4" s="4" t="s">
        <x:v>1</x:v>
      </x:c>
      <x:c r="B4" s="4" t="s">
        <x:v>2</x:v>
      </x:c>
      <x:c r="C4" s="4" t="s">
        <x:v>3</x:v>
      </x:c>
      <x:c r="D4" s="4" t="s">
        <x:v>4</x:v>
      </x:c>
      <x:c r="E4" s="4" t="s">
        <x:v>5</x:v>
      </x:c>
      <x:c r="F4" s="4" t="s">
        <x:v>6</x:v>
      </x:c>
      <x:c r="G4" s="4" t="s">
        <x:v>7</x:v>
      </x:c>
      <x:c r="H4" s="4" t="s">
        <x:v>8</x:v>
      </x:c>
      <x:c r="I4" s="4" t="s">
        <x:v>9</x:v>
      </x:c>
    </x:row>
    <x:row r="5" ht="45.75" customHeight="1">
      <x:c r="A5" s="13"/>
      <x:c r="B5" s="14" t="s">
        <x:v>10</x:v>
      </x:c>
      <x:c r="C5" s="15" t="s">
        <x:v>11</x:v>
      </x:c>
      <x:c r="D5" s="16">
        <x:v>4.0</x:v>
      </x:c>
      <x:c r="E5" s="17">
        <x:v>139.0</x:v>
      </x:c>
      <x:c r="F5" s="18" t="n">
        <x:f t="shared" ref="F5:F17" si="1">D5*E5</x:f>
        <x:v>556</x:v>
      </x:c>
      <x:c r="G5" s="14" t="s">
        <x:v>12</x:v>
      </x:c>
      <x:c r="H5" s="24" t="s">
        <x:v>13</x:v>
      </x:c>
      <x:c r="I5" s="25" t="s">
        <x:v>14</x:v>
      </x:c>
    </x:row>
    <x:row r="6" ht="45.75" customHeight="1">
      <x:c r="A6" s="26"/>
      <x:c r="B6" s="16" t="s">
        <x:v>15</x:v>
      </x:c>
      <x:c r="C6" s="15" t="s">
        <x:v>16</x:v>
      </x:c>
      <x:c r="D6" s="16">
        <x:v>4.0</x:v>
      </x:c>
      <x:c r="E6" s="17">
        <x:v>70.0</x:v>
      </x:c>
      <x:c r="F6" s="18">
        <x:f t="shared" si="1"/>
        <x:v>280</x:v>
      </x:c>
      <x:c r="G6" s="16" t="s">
        <x:v>17</x:v>
      </x:c>
      <x:c r="H6" s="28" t="s">
        <x:v>13</x:v>
      </x:c>
      <x:c r="I6" s="29" t="s">
        <x:v>14</x:v>
      </x:c>
    </x:row>
    <x:row r="7" ht="54" customHeight="1">
      <x:c r="A7" s="26"/>
      <x:c r="B7" s="14" t="str">
        <x:v>SN74AHCT244N DIP-20 logic buffer</x:v>
      </x:c>
      <x:c r="C7" s="30" t="str">
        <x:v>Receives the six 3.3 V STM32 hardware-PWM signals and outputs reliable 5 V servo-control signals. One eight-channel chip supports all six servos. Servo power does not pass through this chip.</x:v>
      </x:c>
      <x:c r="D7" s="14" t="n">
        <x:v>1</x:v>
      </x:c>
      <x:c r="E7" s="23" t="n">
        <x:v>38</x:v>
      </x:c>
      <x:c r="F7" s="18" t="n">
        <x:f t="shared" si="1">D7*E7</x:f>
        <x:v>38</x:v>
      </x:c>
      <x:c r="G7" s="14" t="str">
        <x:v>DigiKey Thailand</x:v>
      </x:c>
      <x:c r="H7" s="77" t="str">
        <x:v>https://www.ti.com/product/SN74AHCT244</x:v>
      </x:c>
      <x:c r="I7" s="25" t="str">
        <x:v>Yes, price seen</x:v>
      </x:c>
    </x:row>
    <x:row r="8" ht="45.75" customHeight="1">
      <x:c r="A8" s="13"/>
      <x:c r="B8" s="16" t="s">
        <x:v>18</x:v>
      </x:c>
      <x:c r="C8" s="30" t="s">
        <x:v>19</x:v>
      </x:c>
      <x:c r="D8" s="16">
        <x:v>3.0</x:v>
      </x:c>
      <x:c r="E8" s="17">
        <x:v>85.0</x:v>
      </x:c>
      <x:c r="F8" s="18">
        <x:f t="shared" si="1"/>
        <x:v>255</x:v>
      </x:c>
      <x:c r="G8" s="16" t="s">
        <x:v>17</x:v>
      </x:c>
      <x:c r="H8" s="31" t="s">
        <x:v>13</x:v>
      </x:c>
      <x:c r="I8" s="29" t="s">
        <x:v>14</x:v>
      </x:c>
    </x:row>
    <x:row r="9" ht="45.75" customHeight="1">
      <x:c r="A9" s="13"/>
      <x:c r="B9" s="32" t="s">
        <x:v>20</x:v>
      </x:c>
      <x:c r="C9" s="30" t="s">
        <x:v>21</x:v>
      </x:c>
      <x:c r="D9" s="16">
        <x:v>6.0</x:v>
      </x:c>
      <x:c r="E9" s="33">
        <x:v>10.0</x:v>
      </x:c>
      <x:c r="F9" s="34">
        <x:f t="shared" si="1"/>
        <x:v>60</x:v>
      </x:c>
      <x:c r="G9" s="16" t="s">
        <x:v>17</x:v>
      </x:c>
      <x:c r="H9" s="31" t="s">
        <x:v>13</x:v>
      </x:c>
      <x:c r="I9" s="29" t="s">
        <x:v>14</x:v>
      </x:c>
    </x:row>
    <x:row r="10" ht="45.75" customHeight="1">
      <x:c r="A10" s="13"/>
      <x:c r="B10" s="16" t="s">
        <x:v>22</x:v>
      </x:c>
      <x:c r="C10" s="30" t="s">
        <x:v>23</x:v>
      </x:c>
      <x:c r="D10" s="16">
        <x:v>1.0</x:v>
      </x:c>
      <x:c r="E10" s="33">
        <x:v>132.0</x:v>
      </x:c>
      <x:c r="F10" s="34">
        <x:f t="shared" si="1"/>
        <x:v>132</x:v>
      </x:c>
      <x:c r="G10" s="16" t="s">
        <x:v>24</x:v>
      </x:c>
      <x:c r="H10" s="31" t="s">
        <x:v>13</x:v>
      </x:c>
      <x:c r="I10" s="29" t="s">
        <x:v>14</x:v>
      </x:c>
    </x:row>
    <x:row r="11" ht="45.75" customHeight="1">
      <x:c r="A11" s="35"/>
      <x:c r="B11" s="35" t="s">
        <x:v>25</x:v>
      </x:c>
      <x:c r="C11" s="35" t="s">
        <x:v>26</x:v>
      </x:c>
      <x:c r="D11" s="35"/>
      <x:c r="E11" s="36"/>
      <x:c r="F11" s="37">
        <x:f t="shared" si="1"/>
        <x:v>0</x:v>
      </x:c>
      <x:c r="G11" s="35"/>
      <x:c r="H11" s="38"/>
      <x:c r="I11" s="39"/>
      <x:c r="L11" s="40"/>
      <x:c r="M11" s="41"/>
    </x:row>
    <x:row r="12" ht="45.75" customHeight="1">
      <x:c r="A12" s="26" t="s">
        <x:v>27</x:v>
      </x:c>
      <x:c r="B12" s="42" t="s">
        <x:v>28</x:v>
      </x:c>
      <x:c r="C12" s="42" t="s">
        <x:v>29</x:v>
      </x:c>
      <x:c r="D12" s="42">
        <x:v>1.0</x:v>
      </x:c>
      <x:c r="E12" s="43">
        <x:v>390.0</x:v>
      </x:c>
      <x:c r="F12" s="44">
        <x:f t="shared" si="1"/>
        <x:v>390</x:v>
      </x:c>
      <x:c r="G12" s="42" t="s">
        <x:v>30</x:v>
      </x:c>
      <x:c r="H12" s="31" t="s">
        <x:v>13</x:v>
      </x:c>
      <x:c r="I12" s="29" t="s">
        <x:v>14</x:v>
      </x:c>
    </x:row>
    <x:row r="13" ht="45.75" customHeight="1">
      <x:c r="A13" s="26"/>
      <x:c r="B13" s="42" t="s">
        <x:v>31</x:v>
      </x:c>
      <x:c r="C13" s="42" t="s">
        <x:v>32</x:v>
      </x:c>
      <x:c r="D13" s="42">
        <x:v>1.0</x:v>
      </x:c>
      <x:c r="E13" s="43">
        <x:v>590.0</x:v>
      </x:c>
      <x:c r="F13" s="44">
        <x:f t="shared" si="1"/>
        <x:v>590</x:v>
      </x:c>
      <x:c r="G13" s="42" t="s">
        <x:v>33</x:v>
      </x:c>
      <x:c r="H13" s="31" t="s">
        <x:v>13</x:v>
      </x:c>
      <x:c r="I13" s="29" t="s">
        <x:v>14</x:v>
      </x:c>
    </x:row>
    <x:row r="14" ht="45.75" customHeight="1">
      <x:c r="A14" s="26"/>
      <x:c r="B14" s="42" t="s">
        <x:v>34</x:v>
      </x:c>
      <x:c r="C14" s="22" t="s">
        <x:v>35</x:v>
      </x:c>
      <x:c r="D14" s="42">
        <x:v>1.0</x:v>
      </x:c>
      <x:c r="E14" s="43">
        <x:v>220.0</x:v>
      </x:c>
      <x:c r="F14" s="44">
        <x:f t="shared" si="1"/>
        <x:v>220</x:v>
      </x:c>
      <x:c r="G14" s="42" t="s">
        <x:v>17</x:v>
      </x:c>
      <x:c r="H14" s="31" t="s">
        <x:v>13</x:v>
      </x:c>
      <x:c r="I14" s="29" t="s">
        <x:v>14</x:v>
      </x:c>
    </x:row>
    <x:row r="15" ht="45.75" customHeight="1">
      <x:c r="A15" s="26"/>
      <x:c r="B15" s="42" t="s">
        <x:v>36</x:v>
      </x:c>
      <x:c r="C15" s="22" t="s">
        <x:v>37</x:v>
      </x:c>
      <x:c r="D15" s="42">
        <x:v>1.0</x:v>
      </x:c>
      <x:c r="E15" s="43">
        <x:v>70.0</x:v>
      </x:c>
      <x:c r="F15" s="44">
        <x:f t="shared" si="1"/>
        <x:v>70</x:v>
      </x:c>
      <x:c r="G15" s="42" t="s">
        <x:v>38</x:v>
      </x:c>
      <x:c r="H15" s="31" t="s">
        <x:v>13</x:v>
      </x:c>
      <x:c r="I15" s="29" t="s">
        <x:v>14</x:v>
      </x:c>
    </x:row>
    <x:row r="16" ht="54" customHeight="1">
      <x:c r="A16" s="26"/>
      <x:c r="B16" s="42" t="str">
        <x:v>100 nF ceramic decoupling capacitor</x:v>
      </x:c>
      <x:c r="C16" s="22" t="str">
        <x:v>Connect directly between SN74AHCT244N pin 20 (VCC) and pin 10 (GND). It filters short supply spikes near the logic buffer.</x:v>
      </x:c>
      <x:c r="D16" s="42" t="n">
        <x:v>1</x:v>
      </x:c>
      <x:c r="E16" s="43" t="n">
        <x:v>5</x:v>
      </x:c>
      <x:c r="F16" s="44" t="n">
        <x:f t="shared" si="1">D16*E16</x:f>
        <x:v>5</x:v>
      </x:c>
      <x:c r="G16" s="42" t="str">
        <x:v>Local electronics shop</x:v>
      </x:c>
      <x:c r="H16" s="79" t="str">
        <x:v>https://www.ti.com/product/SN74AHCT244</x:v>
      </x:c>
      <x:c r="I16" s="29" t="str">
        <x:v>Estimated</x:v>
      </x:c>
    </x:row>
    <x:row r="17" ht="45.75" customHeight="1">
      <x:c r="A17" s="26"/>
      <x:c r="B17" s="42" t="s">
        <x:v>39</x:v>
      </x:c>
      <x:c r="C17" s="42" t="s">
        <x:v>40</x:v>
      </x:c>
      <x:c r="D17" s="42">
        <x:v>1.0</x:v>
      </x:c>
      <x:c r="E17" s="43">
        <x:v>260.0</x:v>
      </x:c>
      <x:c r="F17" s="44">
        <x:f t="shared" si="1"/>
        <x:v>260</x:v>
      </x:c>
      <x:c r="G17" s="42" t="s">
        <x:v>33</x:v>
      </x:c>
      <x:c r="H17" s="31" t="s">
        <x:v>13</x:v>
      </x:c>
      <x:c r="I17" s="29" t="s">
        <x:v>14</x:v>
      </x:c>
    </x:row>
    <x:row r="18" ht="45.75" customHeight="1">
      <x:c r="A18" s="26"/>
      <x:c r="B18" s="42" t="s">
        <x:v>41</x:v>
      </x:c>
      <x:c r="C18" s="42" t="s">
        <x:v>40</x:v>
      </x:c>
      <x:c r="D18" s="42">
        <x:v>1.0</x:v>
      </x:c>
      <x:c r="E18" s="43">
        <x:v>15.0</x:v>
      </x:c>
      <x:c r="F18" s="44" t="n">
        <x:f t="shared" ref="F18:F19" si="2">E18*D18</x:f>
        <x:v>15</x:v>
      </x:c>
      <x:c r="G18" s="42" t="s">
        <x:v>33</x:v>
      </x:c>
      <x:c r="H18" s="31" t="s">
        <x:v>13</x:v>
      </x:c>
      <x:c r="I18" s="29" t="s">
        <x:v>14</x:v>
      </x:c>
    </x:row>
    <x:row r="19" ht="45.75" customHeight="1">
      <x:c r="A19" s="26"/>
      <x:c r="B19" s="42" t="s">
        <x:v>42</x:v>
      </x:c>
      <x:c r="C19" s="30" t="s">
        <x:v>43</x:v>
      </x:c>
      <x:c r="D19" s="42">
        <x:v>1.0</x:v>
      </x:c>
      <x:c r="E19" s="43">
        <x:v>215.0</x:v>
      </x:c>
      <x:c r="F19" s="44">
        <x:f t="shared" si="2"/>
        <x:v>215</x:v>
      </x:c>
      <x:c r="G19" s="14" t="s">
        <x:v>12</x:v>
      </x:c>
      <x:c r="H19" s="31" t="s">
        <x:v>13</x:v>
      </x:c>
      <x:c r="I19" s="29" t="s">
        <x:v>14</x:v>
      </x:c>
    </x:row>
    <x:row r="20" ht="45.75" customHeight="1">
      <x:c r="A20" s="26"/>
      <x:c r="B20" s="42" t="s">
        <x:v>44</x:v>
      </x:c>
      <x:c r="C20" s="15" t="s">
        <x:v>45</x:v>
      </x:c>
      <x:c r="D20" s="42">
        <x:v>1.0</x:v>
      </x:c>
      <x:c r="E20" s="43">
        <x:v>16.0</x:v>
      </x:c>
      <x:c r="F20" s="44" t="n">
        <x:f t="shared" ref="F20:F32" si="3">D20*E20</x:f>
        <x:v>16</x:v>
      </x:c>
      <x:c r="G20" s="42" t="s">
        <x:v>46</x:v>
      </x:c>
      <x:c r="H20" s="31" t="s">
        <x:v>13</x:v>
      </x:c>
      <x:c r="I20" s="29" t="s">
        <x:v>14</x:v>
      </x:c>
      <x:c r="J20" s="45" t="s">
        <x:v>47</x:v>
      </x:c>
    </x:row>
    <x:row r="21" ht="45.75" customHeight="1">
      <x:c r="A21" s="26"/>
      <x:c r="B21" s="42" t="s">
        <x:v>48</x:v>
      </x:c>
      <x:c r="C21" s="22" t="s">
        <x:v>49</x:v>
      </x:c>
      <x:c r="D21" s="42">
        <x:v>2.0</x:v>
      </x:c>
      <x:c r="E21" s="43">
        <x:v>29.0</x:v>
      </x:c>
      <x:c r="F21" s="44">
        <x:f t="shared" si="3"/>
        <x:v>58</x:v>
      </x:c>
      <x:c r="G21" s="42" t="s">
        <x:v>50</x:v>
      </x:c>
      <x:c r="H21" s="47" t="s">
        <x:v>13</x:v>
      </x:c>
      <x:c r="I21" s="29" t="s">
        <x:v>14</x:v>
      </x:c>
    </x:row>
    <x:row r="22" ht="45.75" customHeight="1">
      <x:c r="A22" s="26"/>
      <x:c r="B22" s="42" t="s">
        <x:v>51</x:v>
      </x:c>
      <x:c r="C22" s="15" t="s">
        <x:v>52</x:v>
      </x:c>
      <x:c r="D22" s="42">
        <x:v>1.0</x:v>
      </x:c>
      <x:c r="E22" s="43">
        <x:v>26.0</x:v>
      </x:c>
      <x:c r="F22" s="44">
        <x:f t="shared" si="3"/>
        <x:v>26</x:v>
      </x:c>
      <x:c r="G22" s="42" t="s">
        <x:v>33</x:v>
      </x:c>
      <x:c r="H22" s="47" t="s">
        <x:v>13</x:v>
      </x:c>
      <x:c r="I22" s="29" t="s">
        <x:v>14</x:v>
      </x:c>
    </x:row>
    <x:row r="23" ht="45.75" customHeight="1">
      <x:c r="A23" s="26"/>
      <x:c r="B23" s="42" t="s">
        <x:v>53</x:v>
      </x:c>
      <x:c r="C23" s="15" t="s">
        <x:v>54</x:v>
      </x:c>
      <x:c r="D23" s="42">
        <x:v>1.0</x:v>
      </x:c>
      <x:c r="E23" s="43">
        <x:v>120.0</x:v>
      </x:c>
      <x:c r="F23" s="44">
        <x:f t="shared" si="3"/>
        <x:v>120</x:v>
      </x:c>
      <x:c r="G23" s="42" t="s">
        <x:v>33</x:v>
      </x:c>
      <x:c r="H23" s="47" t="s">
        <x:v>13</x:v>
      </x:c>
      <x:c r="I23" s="29" t="s">
        <x:v>14</x:v>
      </x:c>
    </x:row>
    <x:row r="24" ht="45.75" customHeight="1">
      <x:c r="A24" s="26"/>
      <x:c r="B24" s="42" t="s">
        <x:v>55</x:v>
      </x:c>
      <x:c r="C24" s="15" t="s">
        <x:v>56</x:v>
      </x:c>
      <x:c r="D24" s="42">
        <x:v>3.0</x:v>
      </x:c>
      <x:c r="E24" s="43">
        <x:v>50.0</x:v>
      </x:c>
      <x:c r="F24" s="44">
        <x:f t="shared" si="3"/>
        <x:v>150</x:v>
      </x:c>
      <x:c r="G24" s="42" t="s">
        <x:v>33</x:v>
      </x:c>
      <x:c r="H24" s="47" t="s">
        <x:v>13</x:v>
      </x:c>
      <x:c r="I24" s="29" t="s">
        <x:v>14</x:v>
      </x:c>
    </x:row>
    <x:row r="25" ht="45.75" customHeight="1">
      <x:c r="A25" s="26"/>
      <x:c r="B25" s="42" t="s">
        <x:v>57</x:v>
      </x:c>
      <x:c r="C25" s="15" t="s">
        <x:v>58</x:v>
      </x:c>
      <x:c r="D25" s="42">
        <x:v>1.0</x:v>
      </x:c>
      <x:c r="E25" s="43">
        <x:v>65.0</x:v>
      </x:c>
      <x:c r="F25" s="44">
        <x:f t="shared" si="3"/>
        <x:v>65</x:v>
      </x:c>
      <x:c r="G25" s="42" t="s">
        <x:v>33</x:v>
      </x:c>
      <x:c r="H25" s="47" t="s">
        <x:v>13</x:v>
      </x:c>
      <x:c r="I25" s="29" t="s">
        <x:v>14</x:v>
      </x:c>
    </x:row>
    <x:row r="26" ht="45.75" customHeight="1">
      <x:c r="A26" s="26"/>
      <x:c r="B26" s="42" t="s">
        <x:v>59</x:v>
      </x:c>
      <x:c r="C26" s="30" t="s">
        <x:v>60</x:v>
      </x:c>
      <x:c r="D26" s="42">
        <x:v>1.0</x:v>
      </x:c>
      <x:c r="E26" s="43">
        <x:v>102.0</x:v>
      </x:c>
      <x:c r="F26" s="44">
        <x:f t="shared" si="3"/>
        <x:v>102</x:v>
      </x:c>
      <x:c r="G26" s="42" t="s">
        <x:v>33</x:v>
      </x:c>
      <x:c r="H26" s="47" t="s">
        <x:v>13</x:v>
      </x:c>
      <x:c r="I26" s="29" t="s">
        <x:v>14</x:v>
      </x:c>
    </x:row>
    <x:row r="27" ht="45.75" customHeight="1">
      <x:c r="A27" s="26"/>
      <x:c r="B27" s="42" t="s">
        <x:v>61</x:v>
      </x:c>
      <x:c r="C27" s="15" t="s">
        <x:v>62</x:v>
      </x:c>
      <x:c r="D27" s="42">
        <x:v>1.0</x:v>
      </x:c>
      <x:c r="E27" s="43">
        <x:v>120.0</x:v>
      </x:c>
      <x:c r="F27" s="44">
        <x:f t="shared" si="3"/>
        <x:v>120</x:v>
      </x:c>
      <x:c r="G27" s="42" t="s">
        <x:v>12</x:v>
      </x:c>
      <x:c r="H27" s="47" t="s">
        <x:v>13</x:v>
      </x:c>
      <x:c r="I27" s="29" t="s">
        <x:v>14</x:v>
      </x:c>
    </x:row>
    <x:row r="28" ht="45.75" customHeight="1">
      <x:c r="A28" s="13"/>
      <x:c r="B28" s="16" t="s">
        <x:v>63</x:v>
      </x:c>
      <x:c r="C28" s="30" t="s">
        <x:v>64</x:v>
      </x:c>
      <x:c r="D28" s="16">
        <x:v>1.0</x:v>
      </x:c>
      <x:c r="E28" s="17">
        <x:v>245.0</x:v>
      </x:c>
      <x:c r="F28" s="18">
        <x:f t="shared" si="3"/>
        <x:v>245</x:v>
      </x:c>
      <x:c r="G28" s="16" t="s">
        <x:v>65</x:v>
      </x:c>
      <x:c r="H28" s="48" t="s">
        <x:v>13</x:v>
      </x:c>
      <x:c r="I28" s="29" t="s">
        <x:v>14</x:v>
      </x:c>
    </x:row>
    <x:row r="29" ht="45.75" customHeight="1">
      <x:c r="A29" s="49"/>
      <x:c r="B29" s="49" t="s">
        <x:v>66</x:v>
      </x:c>
      <x:c r="C29" s="50" t="str">
        <x:v>Already have it. Generates six stable hardware-PWM signals, reads the controls and safety inputs, plans smooth trajectories, and communicates with the Pi over USB UART.</x:v>
      </x:c>
      <x:c r="D29" s="51">
        <x:v>1.0</x:v>
      </x:c>
      <x:c r="E29" s="52">
        <x:v>0.0</x:v>
      </x:c>
      <x:c r="F29" s="53">
        <x:f t="shared" si="3"/>
        <x:v>0</x:v>
      </x:c>
      <x:c r="G29" s="51" t="s">
        <x:v>67</x:v>
      </x:c>
      <x:c r="H29" s="54"/>
      <x:c r="I29" s="51" t="s">
        <x:v>68</x:v>
      </x:c>
    </x:row>
    <x:row r="30" ht="45.75" customHeight="1">
      <x:c r="A30" s="51"/>
      <x:c r="B30" s="51" t="s">
        <x:v>69</x:v>
      </x:c>
      <x:c r="C30" s="50" t="s">
        <x:v>70</x:v>
      </x:c>
      <x:c r="D30" s="51">
        <x:v>1.0</x:v>
      </x:c>
      <x:c r="E30" s="52">
        <x:v>0.0</x:v>
      </x:c>
      <x:c r="F30" s="53">
        <x:f t="shared" si="3"/>
        <x:v>0</x:v>
      </x:c>
      <x:c r="G30" s="51" t="s">
        <x:v>67</x:v>
      </x:c>
      <x:c r="H30" s="54"/>
      <x:c r="I30" s="51" t="s">
        <x:v>68</x:v>
      </x:c>
    </x:row>
    <x:row r="31" ht="45.75" customHeight="1">
      <x:c r="A31" s="51"/>
      <x:c r="B31" s="49" t="s">
        <x:v>71</x:v>
      </x:c>
      <x:c r="C31" s="50" t="s">
        <x:v>72</x:v>
      </x:c>
      <x:c r="D31" s="49">
        <x:v>1.0</x:v>
      </x:c>
      <x:c r="E31" s="55">
        <x:v>0.0</x:v>
      </x:c>
      <x:c r="F31" s="53">
        <x:f t="shared" si="3"/>
        <x:v>0</x:v>
      </x:c>
      <x:c r="G31" s="49" t="s">
        <x:v>67</x:v>
      </x:c>
      <x:c r="H31" s="54"/>
      <x:c r="I31" s="49" t="s">
        <x:v>68</x:v>
      </x:c>
    </x:row>
    <x:row r="32" ht="45.75" customHeight="1">
      <x:c r="A32" s="51"/>
      <x:c r="B32" s="51" t="s">
        <x:v>73</x:v>
      </x:c>
      <x:c r="C32" s="56" t="s">
        <x:v>74</x:v>
      </x:c>
      <x:c r="D32" s="51">
        <x:v>1.0</x:v>
      </x:c>
      <x:c r="E32" s="52">
        <x:v>0.0</x:v>
      </x:c>
      <x:c r="F32" s="53">
        <x:f t="shared" si="3"/>
        <x:v>0</x:v>
      </x:c>
      <x:c r="G32" s="51" t="s">
        <x:v>75</x:v>
      </x:c>
      <x:c r="H32" s="54"/>
      <x:c r="I32" s="51" t="s">
        <x:v>68</x:v>
      </x:c>
    </x:row>
    <x:row r="34">
      <x:c r="B34" s="57" t="s">
        <x:v>76</x:v>
      </x:c>
      <x:c r="F34" s="58" t="n">
        <x:f>SUM(F5:F32)</x:f>
        <x:v>3988</x:v>
      </x:c>
      <x:c r="H34" s="59"/>
      <x:c r="I34" s="60" t="s">
        <x:v>77</x:v>
      </x:c>
    </x:row>
    <x:row r="35" ht="15.75" customHeight="1">
      <x:c r="B35" s="61" t="s">
        <x:v>78</x:v>
      </x:c>
      <x:c r="C35" s="3" t="s">
        <x:v>79</x:v>
      </x:c>
      <x:c r="F35" s="62">
        <x:v>250.0</x:v>
      </x:c>
      <x:c r="H35" s="63"/>
      <x:c r="I35" s="60" t="s">
        <x:v>80</x:v>
      </x:c>
    </x:row>
    <x:row r="36" ht="15.75" customHeight="1">
      <x:c r="B36" s="61" t="s">
        <x:v>81</x:v>
      </x:c>
      <x:c r="C36" s="3" t="s">
        <x:v>82</x:v>
      </x:c>
      <x:c r="F36" s="64">
        <x:v>300.0</x:v>
      </x:c>
    </x:row>
    <x:row r="37" ht="15.75" customHeight="1">
      <x:c r="B37" s="57" t="s">
        <x:v>83</x:v>
      </x:c>
      <x:c r="F37" s="58" t="n">
        <x:f>F34+F35+F36</x:f>
        <x:v>4538</x:v>
      </x:c>
      <x:c r="G37" s="41"/>
    </x:row>
    <x:row r="38" ht="15.75" customHeight="1">
      <x:c r="B38" s="41">
        <x:v>3.0</x:v>
      </x:c>
    </x:row>
    <x:row r="39" ht="15.75" customHeight="1"/>
    <x:row r="40" ht="15.75" customHeight="1">
      <x:c r="B40" s="65" t="s">
        <x:v>84</x:v>
      </x:c>
      <x:c r="C40" s="66"/>
      <x:c r="D40" s="67"/>
      <x:c r="E40" s="67"/>
      <x:c r="F40" s="67"/>
      <x:c r="G40" s="67"/>
      <x:c r="H40" s="67"/>
    </x:row>
    <x:row r="41" ht="15.75" customHeight="1">
      <x:c r="B41" s="68" t="s">
        <x:v>2</x:v>
      </x:c>
      <x:c r="C41" s="68" t="s">
        <x:v>85</x:v>
      </x:c>
      <x:c r="D41" s="69"/>
      <x:c r="E41" s="68" t="s">
        <x:v>86</x:v>
      </x:c>
      <x:c r="F41" s="69"/>
      <x:c r="G41" s="68" t="s">
        <x:v>87</x:v>
      </x:c>
      <x:c r="H41" s="68" t="s">
        <x:v>8</x:v>
      </x:c>
    </x:row>
    <x:row r="42" ht="15.75" customHeight="1">
      <x:c r="B42" s="70" t="s">
        <x:v>88</x:v>
      </x:c>
      <x:c r="C42" s="70" t="s">
        <x:v>89</x:v>
      </x:c>
      <x:c r="D42" s="67"/>
      <x:c r="E42" s="70" t="s">
        <x:v>90</x:v>
      </x:c>
      <x:c r="F42" s="67"/>
      <x:c r="G42" s="70" t="s">
        <x:v>12</x:v>
      </x:c>
      <x:c r="H42" s="70" t="s">
        <x:v>13</x:v>
      </x:c>
    </x:row>
    <x:row r="43" ht="15.75" customHeight="1">
      <x:c r="B43" s="71" t="s">
        <x:v>91</x:v>
      </x:c>
      <x:c r="C43" s="72" t="s">
        <x:v>92</x:v>
      </x:c>
      <x:c r="D43" s="73"/>
      <x:c r="E43" s="71" t="s">
        <x:v>93</x:v>
      </x:c>
      <x:c r="F43" s="73"/>
      <x:c r="G43" s="71" t="s">
        <x:v>94</x:v>
      </x:c>
      <x:c r="H43" s="74" t="s">
        <x:v>13</x:v>
      </x:c>
    </x:row>
    <x:row r="44" ht="15.75" customHeight="1">
      <x:c r="B44" s="70" t="s">
        <x:v>95</x:v>
      </x:c>
      <x:c r="C44" s="70" t="s">
        <x:v>96</x:v>
      </x:c>
      <x:c r="D44" s="67"/>
      <x:c r="E44" s="70" t="s">
        <x:v>97</x:v>
      </x:c>
      <x:c r="F44" s="67"/>
      <x:c r="G44" s="70" t="s">
        <x:v>33</x:v>
      </x:c>
      <x:c r="H44" s="70" t="s">
        <x:v>13</x:v>
      </x:c>
    </x:row>
    <x:row r="45" ht="15.75" customHeight="1">
      <x:c r="C45" s="22"/>
      <x:c r="H45" s="75"/>
    </x:row>
    <x:row r="46" ht="15.75" customHeight="1"/>
    <x:row r="47" ht="15.75" customHeight="1"/>
    <x:row r="48" ht="15.75" customHeight="1"/>
    <x:row r="49" ht="15" hidden="0" customHeight="1">
      <x:c r="B49" s="82" t="str">
        <x:v>FINAL CONTROL AND POWER ARCHITECTURE</x:v>
      </x:c>
      <x:c r="C49" s="83"/>
    </x:row>
    <x:row r="50" ht="26.399999618530273" hidden="0" customHeight="1">
      <x:c r="B50" s="82" t="str">
        <x:v>Control</x:v>
      </x:c>
      <x:c r="C50" s="83" t="str">
        <x:v>Raspberry Pi → USB UART → STM32 → six hardware-PWM channels → SN74AHCT244N → servo signal wires</x:v>
      </x:c>
    </x:row>
    <x:row r="51" ht="15" hidden="0" customHeight="1">
      <x:c r="B51" s="82" t="str">
        <x:v>Servo power</x:v>
      </x:c>
      <x:c r="C51" s="83" t="str">
        <x:v>12 V adapter or 3S LiPo → 20 A buck set to 6.0 V → distribution block → servo red and black wires</x:v>
      </x:c>
    </x:row>
    <x:row r="52" ht="15" hidden="0" customHeight="1">
      <x:c r="B52" s="82" t="str">
        <x:v>Logic power</x:v>
      </x:c>
      <x:c r="C52" s="83" t="str">
        <x:v>5.1 V regulated rail → Raspberry Pi and logic; SN74AHCT244N uses 5 V logic power</x:v>
      </x:c>
    </x:row>
    <x:row r="53" ht="15" hidden="0" customHeight="1">
      <x:c r="B53" s="82" t="str">
        <x:v>Ground</x:v>
      </x:c>
      <x:c r="C53" s="83" t="str">
        <x:v>Pi, STM32, SN74AHCT244N, both buck converters and all servos share one common ground</x:v>
      </x:c>
    </x:row>
    <x:row r="54" ht="15" hidden="0" customHeight="1">
      <x:c r="B54" s="82" t="str">
        <x:v>Removed</x:v>
      </x:c>
      <x:c r="C54" s="83" t="str">
        <x:v>PCA9685 and BSS138 I²C level shifter are not part of the final architecture</x:v>
      </x:c>
    </x:row>
    <x:row r="55" ht="15.75" customHeight="1">
      <x:c r="C55" s="41"/>
    </x:row>
    <x:row r="56" ht="15.75" customHeight="1"/>
    <x:row r="57" ht="15.75" customHeight="1"/>
    <x:row r="58" ht="15.75" customHeight="1">
      <x:c r="C58" s="30"/>
    </x:row>
    <x:row r="59" ht="15.75" customHeight="1"/>
    <x:row r="60" ht="15.75" customHeight="1">
      <x:c r="C60" s="41"/>
    </x:row>
    <x:row r="61" ht="15.75" customHeight="1">
      <x:c r="C61" s="41"/>
    </x:row>
    <x:row r="62" ht="15.75" customHeight="1">
      <x:c r="C62" s="41"/>
    </x:row>
    <x:row r="63" ht="15.75" customHeight="1">
      <x:c r="C63" s="41"/>
    </x:row>
    <x:row r="64" ht="15.75" customHeight="1">
      <x:c r="C64" s="41"/>
    </x:row>
    <x:row r="65" ht="15.75" customHeight="1">
      <x:c r="C65" s="41"/>
    </x:row>
    <x:row r="66" ht="15.75" customHeight="1">
      <x:c r="C66" s="41"/>
    </x:row>
    <x:row r="67" ht="15.75" customHeight="1">
      <x:c r="C67" s="41"/>
    </x:row>
    <x:row r="68" ht="15.75" customHeight="1"/>
    <x:row r="69" ht="15.75" customHeight="1"/>
    <x:row r="70" ht="15.75" customHeight="1">
      <x:c r="C70" s="30"/>
    </x:row>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sheetData>
  <x:hyperlinks>
    <x:hyperlink xmlns:r="http://schemas.openxmlformats.org/officeDocument/2006/relationships" ref="H5" r:id="R95746a1ed00c4533"/>
    <x:hyperlink xmlns:r="http://schemas.openxmlformats.org/officeDocument/2006/relationships" ref="H6" r:id="R469db7e4eccb4703"/>
    <x:hyperlink xmlns:r="http://schemas.openxmlformats.org/officeDocument/2006/relationships" ref="H7" r:id="R93861c195ad1433f"/>
    <x:hyperlink xmlns:r="http://schemas.openxmlformats.org/officeDocument/2006/relationships" ref="H8" r:id="Rd395f8488f274a5e"/>
    <x:hyperlink xmlns:r="http://schemas.openxmlformats.org/officeDocument/2006/relationships" ref="H9" r:id="Re4cff48ed6254a0a"/>
    <x:hyperlink xmlns:r="http://schemas.openxmlformats.org/officeDocument/2006/relationships" ref="H10" r:id="Rbc0d35d2493b4b16"/>
    <x:hyperlink xmlns:r="http://schemas.openxmlformats.org/officeDocument/2006/relationships" ref="H12" r:id="Rf253b7b3c2a34c47"/>
    <x:hyperlink xmlns:r="http://schemas.openxmlformats.org/officeDocument/2006/relationships" ref="H13" r:id="R231502d9299a4296"/>
    <x:hyperlink xmlns:r="http://schemas.openxmlformats.org/officeDocument/2006/relationships" ref="H14" r:id="R1001b52db2e74264"/>
    <x:hyperlink xmlns:r="http://schemas.openxmlformats.org/officeDocument/2006/relationships" ref="H15" r:id="Rb9077475296f47e9"/>
    <x:hyperlink xmlns:r="http://schemas.openxmlformats.org/officeDocument/2006/relationships" ref="H16" r:id="R44cff55095ce4005"/>
    <x:hyperlink xmlns:r="http://schemas.openxmlformats.org/officeDocument/2006/relationships" ref="H17" r:id="Rf4257f9c74b8470f"/>
    <x:hyperlink xmlns:r="http://schemas.openxmlformats.org/officeDocument/2006/relationships" ref="H18" r:id="Rd0ecbb4684c345db"/>
    <x:hyperlink xmlns:r="http://schemas.openxmlformats.org/officeDocument/2006/relationships" ref="H19" r:id="R7eaf1f551c854673"/>
    <x:hyperlink xmlns:r="http://schemas.openxmlformats.org/officeDocument/2006/relationships" ref="H20" r:id="Rd89665274c434eef"/>
    <x:hyperlink xmlns:r="http://schemas.openxmlformats.org/officeDocument/2006/relationships" ref="H21" r:id="R8eda56a10fbf4ea9"/>
    <x:hyperlink xmlns:r="http://schemas.openxmlformats.org/officeDocument/2006/relationships" ref="H22" r:id="R3567ee43431347bc"/>
    <x:hyperlink xmlns:r="http://schemas.openxmlformats.org/officeDocument/2006/relationships" ref="H23" r:id="R8f14e5c0a8e64dfa"/>
    <x:hyperlink xmlns:r="http://schemas.openxmlformats.org/officeDocument/2006/relationships" ref="H24" r:id="Rbbf0f07f87084566"/>
    <x:hyperlink xmlns:r="http://schemas.openxmlformats.org/officeDocument/2006/relationships" ref="H25" r:id="R62863cccef0e417a"/>
    <x:hyperlink xmlns:r="http://schemas.openxmlformats.org/officeDocument/2006/relationships" ref="H26" r:id="R72e4445fba5a4183"/>
    <x:hyperlink xmlns:r="http://schemas.openxmlformats.org/officeDocument/2006/relationships" ref="H27" r:id="Rfb518fa9cc46469a"/>
    <x:hyperlink xmlns:r="http://schemas.openxmlformats.org/officeDocument/2006/relationships" ref="H28" r:id="Rf27afd48d52d4a13"/>
    <x:hyperlink xmlns:r="http://schemas.openxmlformats.org/officeDocument/2006/relationships" ref="H43" r:id="Redb49c3dbaef48fa"/>
  </x:hyperlink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34" customWidth="1"/>
    <x:col min="2" max="2" width="11" customWidth="1"/>
    <x:col min="3" max="3" width="24" customWidth="1"/>
    <x:col min="4" max="4" width="8" customWidth="1"/>
    <x:col min="5" max="5" width="82" customWidth="1"/>
    <x:col min="6" max="26" width="8.710000038146973" customWidth="1"/>
  </x:cols>
  <x:sheetData>
    <x:row r="1">
      <x:c r="A1" s="1" t="s">
        <x:v>98</x:v>
      </x:c>
    </x:row>
    <x:row r="2">
      <x:c r="A2" s="3" t="s">
        <x:v>99</x:v>
      </x:c>
    </x:row>
    <x:row r="4">
      <x:c r="A4" s="4" t="s">
        <x:v>100</x:v>
      </x:c>
      <x:c r="B4" s="4" t="s">
        <x:v>86</x:v>
      </x:c>
      <x:c r="C4" s="4" t="s">
        <x:v>101</x:v>
      </x:c>
      <x:c r="D4" s="4" t="s">
        <x:v>8</x:v>
      </x:c>
      <x:c r="E4" s="4" t="s">
        <x:v>102</x:v>
      </x:c>
    </x:row>
    <x:row r="5">
      <x:c r="A5" s="6" t="s">
        <x:v>103</x:v>
      </x:c>
      <x:c r="B5" s="7"/>
      <x:c r="C5" s="7"/>
      <x:c r="D5" s="7"/>
      <x:c r="E5" s="7"/>
    </x:row>
    <x:row r="6" ht="39.75" customHeight="1">
      <x:c r="A6" s="10" t="s">
        <x:v>104</x:v>
      </x:c>
      <x:c r="B6" s="12">
        <x:v>139.0</x:v>
      </x:c>
      <x:c r="C6" s="10" t="s">
        <x:v>105</x:v>
      </x:c>
      <x:c r="D6" s="20" t="s">
        <x:v>106</x:v>
      </x:c>
      <x:c r="E6" s="21" t="s">
        <x:v>107</x:v>
      </x:c>
    </x:row>
    <x:row r="7" ht="39.75" customHeight="1">
      <x:c r="A7" s="10" t="s">
        <x:v>104</x:v>
      </x:c>
      <x:c r="B7" s="12">
        <x:v>160.0</x:v>
      </x:c>
      <x:c r="C7" s="10" t="s">
        <x:v>17</x:v>
      </x:c>
      <x:c r="D7" s="20" t="s">
        <x:v>106</x:v>
      </x:c>
      <x:c r="E7" s="21" t="s">
        <x:v>108</x:v>
      </x:c>
    </x:row>
    <x:row r="8" ht="39.75" customHeight="1">
      <x:c r="A8" s="10" t="s">
        <x:v>109</x:v>
      </x:c>
      <x:c r="B8" s="12">
        <x:v>175.0</x:v>
      </x:c>
      <x:c r="C8" s="10" t="s">
        <x:v>110</x:v>
      </x:c>
      <x:c r="D8" s="20" t="s">
        <x:v>106</x:v>
      </x:c>
      <x:c r="E8" s="21" t="s">
        <x:v>111</x:v>
      </x:c>
    </x:row>
    <x:row r="9">
      <x:c r="A9" s="6" t="s">
        <x:v>112</x:v>
      </x:c>
      <x:c r="B9" s="7"/>
      <x:c r="C9" s="7"/>
      <x:c r="D9" s="7"/>
      <x:c r="E9" s="7"/>
    </x:row>
    <x:row r="10" ht="39.75" customHeight="1">
      <x:c r="A10" s="10" t="s">
        <x:v>113</x:v>
      </x:c>
      <x:c r="B10" s="12">
        <x:v>55.0</x:v>
      </x:c>
      <x:c r="C10" s="10" t="s">
        <x:v>114</x:v>
      </x:c>
      <x:c r="D10" s="20" t="s">
        <x:v>106</x:v>
      </x:c>
      <x:c r="E10" s="21" t="s">
        <x:v>115</x:v>
      </x:c>
    </x:row>
    <x:row r="11" ht="39.75" customHeight="1">
      <x:c r="A11" s="10" t="s">
        <x:v>116</x:v>
      </x:c>
      <x:c r="B11" s="12">
        <x:v>70.0</x:v>
      </x:c>
      <x:c r="C11" s="10" t="s">
        <x:v>17</x:v>
      </x:c>
      <x:c r="D11" s="20" t="s">
        <x:v>106</x:v>
      </x:c>
      <x:c r="E11" s="21" t="s">
        <x:v>117</x:v>
      </x:c>
    </x:row>
    <x:row r="12" ht="39.75" customHeight="1">
      <x:c r="A12" s="10" t="s">
        <x:v>118</x:v>
      </x:c>
      <x:c r="B12" s="12">
        <x:v>130.0</x:v>
      </x:c>
      <x:c r="C12" s="10" t="s">
        <x:v>33</x:v>
      </x:c>
      <x:c r="D12" s="20" t="s">
        <x:v>106</x:v>
      </x:c>
      <x:c r="E12" s="21" t="s">
        <x:v>119</x:v>
      </x:c>
    </x:row>
    <x:row r="13">
      <x:c r="A13" s="6" t="str">
        <x:v>LOGIC BUFFER — SN74AHCT244N DIP-20 (need 1)</x:v>
      </x:c>
      <x:c r="B13" s="7"/>
      <x:c r="C13" s="7"/>
      <x:c r="D13" s="7"/>
      <x:c r="E13" s="7"/>
    </x:row>
    <x:row r="14" ht="54" customHeight="1">
      <x:c r="A14" s="14" t="str">
        <x:v>SN74AHCT244N, PDIP-20</x:v>
      </x:c>
      <x:c r="B14" s="23" t="n">
        <x:v>38</x:v>
      </x:c>
      <x:c r="C14" s="14" t="str">
        <x:v>DigiKey Thailand</x:v>
      </x:c>
      <x:c r="D14" s="77" t="str">
        <x:v>https://www.ti.com/product/SN74AHCT244</x:v>
      </x:c>
      <x:c r="E14" s="22" t="str">
        <x:v>OUR PICK. Exact final part: AHCT accepts 3.3 V STM32 signals reliably while powered from 5 V. Through-hole package fits a breadboard.</x:v>
      </x:c>
    </x:row>
    <x:row r="15" ht="54" customHeight="1">
      <x:c r="A15" s="10" t="str">
        <x:v>SN74AHCT244N, PDIP-20</x:v>
      </x:c>
      <x:c r="B15" s="12" t="n">
        <x:v>45</x:v>
      </x:c>
      <x:c r="C15" s="10" t="str">
        <x:v>Mouser</x:v>
      </x:c>
      <x:c r="D15" s="85" t="str">
        <x:v>https://www.ti.com/product/SN74AHCT244</x:v>
      </x:c>
      <x:c r="E15" s="21" t="str">
        <x:v>Same exact device from another distributor. Shipping cost may be higher than the chip price.</x:v>
      </x:c>
    </x:row>
    <x:row r="16" ht="54" customHeight="1">
      <x:c r="A16" s="14" t="str">
        <x:v>SN74HCT244N, PDIP-20</x:v>
      </x:c>
      <x:c r="B16" s="23" t="n">
        <x:v>41.2</x:v>
      </x:c>
      <x:c r="C16" s="14" t="str">
        <x:v>element14 Thailand</x:v>
      </x:c>
      <x:c r="D16" s="77" t="str">
        <x:v>https://www.ti.com/product/SN74AHCT244</x:v>
      </x:c>
      <x:c r="E16" s="22" t="str">
        <x:v>Backup only. HCT has less input-voltage margin than AHCT at 5 V, so keep SN74AHCT244N as the final choice.</x:v>
      </x:c>
    </x:row>
    <x:row r="17">
      <x:c r="A17" s="6" t="s">
        <x:v>120</x:v>
      </x:c>
      <x:c r="B17" s="7"/>
      <x:c r="C17" s="7"/>
      <x:c r="D17" s="7"/>
      <x:c r="E17" s="7"/>
    </x:row>
    <x:row r="18" ht="39.75" customHeight="1">
      <x:c r="A18" s="14" t="s">
        <x:v>121</x:v>
      </x:c>
      <x:c r="B18" s="23">
        <x:v>420.0</x:v>
      </x:c>
      <x:c r="C18" s="14" t="s">
        <x:v>122</x:v>
      </x:c>
      <x:c r="D18" s="27" t="s">
        <x:v>106</x:v>
      </x:c>
      <x:c r="E18" s="22" t="s">
        <x:v>123</x:v>
      </x:c>
    </x:row>
    <x:row r="19" ht="39.75" customHeight="1">
      <x:c r="A19" s="14" t="s">
        <x:v>124</x:v>
      </x:c>
      <x:c r="B19" s="23">
        <x:v>550.0</x:v>
      </x:c>
      <x:c r="C19" s="14" t="s">
        <x:v>122</x:v>
      </x:c>
      <x:c r="D19" s="27" t="s">
        <x:v>106</x:v>
      </x:c>
      <x:c r="E19" s="22" t="s">
        <x:v>125</x:v>
      </x:c>
    </x:row>
    <x:row r="20" ht="39.75" customHeight="1">
      <x:c r="A20" s="14" t="s">
        <x:v>126</x:v>
      </x:c>
      <x:c r="B20" s="23">
        <x:v>750.0</x:v>
      </x:c>
      <x:c r="C20" s="14" t="s">
        <x:v>122</x:v>
      </x:c>
      <x:c r="D20" s="27" t="s">
        <x:v>106</x:v>
      </x:c>
      <x:c r="E20" s="22" t="s">
        <x:v>127</x:v>
      </x:c>
    </x:row>
    <x:row r="21" ht="15.75" customHeight="1">
      <x:c r="A21" s="6" t="s">
        <x:v>128</x:v>
      </x:c>
      <x:c r="B21" s="7"/>
      <x:c r="C21" s="7"/>
      <x:c r="D21" s="7"/>
      <x:c r="E21" s="7"/>
    </x:row>
    <x:row r="22" ht="39.75" customHeight="1">
      <x:c r="A22" s="14" t="s">
        <x:v>129</x:v>
      </x:c>
      <x:c r="B22" s="23">
        <x:v>45.0</x:v>
      </x:c>
      <x:c r="C22" s="14" t="s">
        <x:v>33</x:v>
      </x:c>
      <x:c r="D22" s="27" t="s">
        <x:v>106</x:v>
      </x:c>
      <x:c r="E22" s="22" t="s">
        <x:v>130</x:v>
      </x:c>
    </x:row>
    <x:row r="23" ht="39.75" customHeight="1">
      <x:c r="A23" s="14" t="s">
        <x:v>131</x:v>
      </x:c>
      <x:c r="B23" s="23">
        <x:v>120.0</x:v>
      </x:c>
      <x:c r="C23" s="14" t="s">
        <x:v>33</x:v>
      </x:c>
      <x:c r="D23" s="27" t="s">
        <x:v>106</x:v>
      </x:c>
      <x:c r="E23" s="22" t="s">
        <x:v>132</x:v>
      </x:c>
    </x:row>
    <x:row r="24" ht="39.75" customHeight="1">
      <x:c r="A24" s="14" t="s">
        <x:v>133</x:v>
      </x:c>
      <x:c r="B24" s="23">
        <x:v>220.0</x:v>
      </x:c>
      <x:c r="C24" s="14" t="s">
        <x:v>134</x:v>
      </x:c>
      <x:c r="D24" s="27" t="s">
        <x:v>106</x:v>
      </x:c>
      <x:c r="E24" s="22" t="s">
        <x:v>135</x:v>
      </x:c>
    </x:row>
    <x:row r="25" ht="15.75" customHeight="1">
      <x:c r="A25" s="6" t="s">
        <x:v>136</x:v>
      </x:c>
      <x:c r="B25" s="7"/>
      <x:c r="C25" s="7"/>
      <x:c r="D25" s="7"/>
      <x:c r="E25" s="7"/>
    </x:row>
    <x:row r="26" ht="39.75" customHeight="1">
      <x:c r="A26" s="14" t="s">
        <x:v>137</x:v>
      </x:c>
      <x:c r="B26" s="23">
        <x:v>45.0</x:v>
      </x:c>
      <x:c r="C26" s="14" t="s">
        <x:v>33</x:v>
      </x:c>
      <x:c r="D26" s="27" t="s">
        <x:v>106</x:v>
      </x:c>
      <x:c r="E26" s="22" t="s">
        <x:v>138</x:v>
      </x:c>
    </x:row>
    <x:row r="27" ht="39.75" customHeight="1">
      <x:c r="A27" s="14" t="s">
        <x:v>139</x:v>
      </x:c>
      <x:c r="B27" s="23">
        <x:v>70.0</x:v>
      </x:c>
      <x:c r="C27" s="14" t="s">
        <x:v>140</x:v>
      </x:c>
      <x:c r="D27" s="27" t="s">
        <x:v>106</x:v>
      </x:c>
      <x:c r="E27" s="22" t="s">
        <x:v>141</x:v>
      </x:c>
    </x:row>
    <x:row r="28" ht="39.75" customHeight="1">
      <x:c r="A28" s="14" t="s">
        <x:v>142</x:v>
      </x:c>
      <x:c r="B28" s="23">
        <x:v>130.0</x:v>
      </x:c>
      <x:c r="C28" s="14" t="s">
        <x:v>33</x:v>
      </x:c>
      <x:c r="D28" s="27" t="s">
        <x:v>106</x:v>
      </x:c>
      <x:c r="E28" s="22" t="s">
        <x:v>143</x:v>
      </x:c>
    </x:row>
    <x:row r="29" ht="15.75" customHeight="1">
      <x:c r="A29" s="6" t="s">
        <x:v>144</x:v>
      </x:c>
      <x:c r="B29" s="7"/>
      <x:c r="C29" s="7"/>
      <x:c r="D29" s="7"/>
      <x:c r="E29" s="7"/>
    </x:row>
    <x:row r="30" ht="39.75" customHeight="1">
      <x:c r="A30" s="14" t="s">
        <x:v>145</x:v>
      </x:c>
      <x:c r="B30" s="23">
        <x:v>35.0</x:v>
      </x:c>
      <x:c r="C30" s="14" t="s">
        <x:v>33</x:v>
      </x:c>
      <x:c r="D30" s="27" t="s">
        <x:v>106</x:v>
      </x:c>
      <x:c r="E30" s="22" t="s">
        <x:v>146</x:v>
      </x:c>
    </x:row>
    <x:row r="31" ht="39.75" customHeight="1">
      <x:c r="A31" s="14" t="s">
        <x:v>147</x:v>
      </x:c>
      <x:c r="B31" s="23">
        <x:v>90.0</x:v>
      </x:c>
      <x:c r="C31" s="14" t="s">
        <x:v>33</x:v>
      </x:c>
      <x:c r="D31" s="27" t="s">
        <x:v>106</x:v>
      </x:c>
      <x:c r="E31" s="22" t="s">
        <x:v>148</x:v>
      </x:c>
    </x:row>
    <x:row r="32" ht="39.75" customHeight="1">
      <x:c r="A32" s="14" t="s">
        <x:v>149</x:v>
      </x:c>
      <x:c r="B32" s="23">
        <x:v>250.0</x:v>
      </x:c>
      <x:c r="C32" s="14" t="s">
        <x:v>150</x:v>
      </x:c>
      <x:c r="D32" s="27" t="s">
        <x:v>106</x:v>
      </x:c>
      <x:c r="E32" s="22" t="s">
        <x:v>151</x:v>
      </x:c>
    </x:row>
    <x:row r="33" ht="15.75" customHeight="1">
      <x:c r="A33" s="6" t="s">
        <x:v>152</x:v>
      </x:c>
      <x:c r="B33" s="7"/>
      <x:c r="C33" s="7"/>
      <x:c r="D33" s="7"/>
      <x:c r="E33" s="7"/>
    </x:row>
    <x:row r="34" ht="39.75" customHeight="1">
      <x:c r="A34" s="14" t="s">
        <x:v>153</x:v>
      </x:c>
      <x:c r="B34" s="23">
        <x:v>30.0</x:v>
      </x:c>
      <x:c r="C34" s="14" t="s">
        <x:v>33</x:v>
      </x:c>
      <x:c r="D34" s="27" t="s">
        <x:v>106</x:v>
      </x:c>
      <x:c r="E34" s="22" t="s">
        <x:v>154</x:v>
      </x:c>
    </x:row>
    <x:row r="35" ht="39.75" customHeight="1">
      <x:c r="A35" s="14" t="s">
        <x:v>155</x:v>
      </x:c>
      <x:c r="B35" s="23">
        <x:v>75.0</x:v>
      </x:c>
      <x:c r="C35" s="14" t="s">
        <x:v>33</x:v>
      </x:c>
      <x:c r="D35" s="27" t="s">
        <x:v>106</x:v>
      </x:c>
      <x:c r="E35" s="22" t="s">
        <x:v>156</x:v>
      </x:c>
    </x:row>
    <x:row r="36" ht="39.75" customHeight="1">
      <x:c r="A36" s="14" t="s">
        <x:v>157</x:v>
      </x:c>
      <x:c r="B36" s="23">
        <x:v>320.0</x:v>
      </x:c>
      <x:c r="C36" s="14" t="s">
        <x:v>33</x:v>
      </x:c>
      <x:c r="D36" s="27" t="s">
        <x:v>106</x:v>
      </x:c>
      <x:c r="E36" s="22" t="s">
        <x:v>158</x:v>
      </x:c>
    </x:row>
    <x:row r="37" ht="15.75" customHeight="1">
      <x:c r="A37" s="6" t="s">
        <x:v>159</x:v>
      </x:c>
      <x:c r="B37" s="7"/>
      <x:c r="C37" s="7"/>
      <x:c r="D37" s="7"/>
      <x:c r="E37" s="7"/>
    </x:row>
    <x:row r="38" ht="39.75" customHeight="1">
      <x:c r="A38" s="14" t="s">
        <x:v>160</x:v>
      </x:c>
      <x:c r="B38" s="23">
        <x:v>15.0</x:v>
      </x:c>
      <x:c r="C38" s="14" t="s">
        <x:v>161</x:v>
      </x:c>
      <x:c r="D38" s="27" t="s">
        <x:v>106</x:v>
      </x:c>
      <x:c r="E38" s="22" t="s">
        <x:v>162</x:v>
      </x:c>
    </x:row>
    <x:row r="39" ht="39.75" customHeight="1">
      <x:c r="A39" s="14" t="s">
        <x:v>163</x:v>
      </x:c>
      <x:c r="B39" s="23">
        <x:v>35.0</x:v>
      </x:c>
      <x:c r="C39" s="14" t="s">
        <x:v>164</x:v>
      </x:c>
      <x:c r="D39" s="27" t="s">
        <x:v>106</x:v>
      </x:c>
      <x:c r="E39" s="22" t="s">
        <x:v>165</x:v>
      </x:c>
    </x:row>
    <x:row r="40" ht="39.75" customHeight="1">
      <x:c r="A40" s="14" t="s">
        <x:v>166</x:v>
      </x:c>
      <x:c r="B40" s="23">
        <x:v>250.0</x:v>
      </x:c>
      <x:c r="C40" s="14" t="s">
        <x:v>150</x:v>
      </x:c>
      <x:c r="D40" s="27" t="s">
        <x:v>106</x:v>
      </x:c>
      <x:c r="E40" s="22" t="s">
        <x:v>167</x:v>
      </x:c>
    </x:row>
    <x:row r="41" ht="15.75" customHeight="1">
      <x:c r="A41" s="6" t="s">
        <x:v>168</x:v>
      </x:c>
      <x:c r="B41" s="7"/>
      <x:c r="C41" s="7"/>
      <x:c r="D41" s="7"/>
      <x:c r="E41" s="7"/>
    </x:row>
    <x:row r="42" ht="39.75" customHeight="1">
      <x:c r="A42" s="14" t="s">
        <x:v>169</x:v>
      </x:c>
      <x:c r="B42" s="23">
        <x:v>75.0</x:v>
      </x:c>
      <x:c r="C42" s="14" t="s">
        <x:v>170</x:v>
      </x:c>
      <x:c r="D42" s="27" t="s">
        <x:v>106</x:v>
      </x:c>
      <x:c r="E42" s="22" t="s">
        <x:v>171</x:v>
      </x:c>
    </x:row>
    <x:row r="43" ht="39.75" customHeight="1">
      <x:c r="A43" s="14" t="s">
        <x:v>172</x:v>
      </x:c>
      <x:c r="B43" s="23">
        <x:v>90.0</x:v>
      </x:c>
      <x:c r="C43" s="14" t="s">
        <x:v>173</x:v>
      </x:c>
      <x:c r="D43" s="27" t="s">
        <x:v>106</x:v>
      </x:c>
      <x:c r="E43" s="22" t="s">
        <x:v>174</x:v>
      </x:c>
    </x:row>
    <x:row r="44" ht="39.75" customHeight="1">
      <x:c r="A44" s="14" t="s">
        <x:v>175</x:v>
      </x:c>
      <x:c r="B44" s="23">
        <x:v>180.0</x:v>
      </x:c>
      <x:c r="C44" s="14" t="s">
        <x:v>33</x:v>
      </x:c>
      <x:c r="D44" s="27" t="s">
        <x:v>106</x:v>
      </x:c>
      <x:c r="E44" s="22" t="s">
        <x:v>176</x:v>
      </x:c>
    </x:row>
    <x:row r="45" ht="15.75" customHeight="1">
      <x:c r="A45" s="6" t="s">
        <x:v>177</x:v>
      </x:c>
      <x:c r="B45" s="7"/>
      <x:c r="C45" s="7"/>
      <x:c r="D45" s="7"/>
      <x:c r="E45" s="7"/>
    </x:row>
    <x:row r="46" ht="39.75" customHeight="1">
      <x:c r="A46" s="14" t="s">
        <x:v>178</x:v>
      </x:c>
      <x:c r="B46" s="23">
        <x:v>60.0</x:v>
      </x:c>
      <x:c r="C46" s="14" t="s">
        <x:v>179</x:v>
      </x:c>
      <x:c r="D46" s="27" t="s">
        <x:v>106</x:v>
      </x:c>
      <x:c r="E46" s="22" t="s">
        <x:v>180</x:v>
      </x:c>
    </x:row>
    <x:row r="47" ht="39.75" customHeight="1">
      <x:c r="A47" s="14" t="s">
        <x:v>181</x:v>
      </x:c>
      <x:c r="B47" s="23">
        <x:v>120.0</x:v>
      </x:c>
      <x:c r="C47" s="14" t="s">
        <x:v>12</x:v>
      </x:c>
      <x:c r="D47" s="27" t="s">
        <x:v>106</x:v>
      </x:c>
      <x:c r="E47" s="22" t="s">
        <x:v>182</x:v>
      </x:c>
    </x:row>
    <x:row r="48" ht="39.75" customHeight="1">
      <x:c r="A48" s="14" t="s">
        <x:v>183</x:v>
      </x:c>
      <x:c r="B48" s="23">
        <x:v>180.0</x:v>
      </x:c>
      <x:c r="C48" s="14" t="s">
        <x:v>184</x:v>
      </x:c>
      <x:c r="D48" s="27" t="s">
        <x:v>106</x:v>
      </x:c>
      <x:c r="E48" s="22" t="s">
        <x:v>185</x:v>
      </x:c>
    </x:row>
    <x:row r="49" ht="15.75" customHeight="1">
      <x:c r="A49" s="6" t="s">
        <x:v>186</x:v>
      </x:c>
      <x:c r="B49" s="7"/>
      <x:c r="C49" s="7"/>
      <x:c r="D49" s="7"/>
      <x:c r="E49" s="7"/>
    </x:row>
    <x:row r="50" ht="39.75" customHeight="1">
      <x:c r="A50" s="14" t="s">
        <x:v>187</x:v>
      </x:c>
      <x:c r="B50" s="23">
        <x:v>350.0</x:v>
      </x:c>
      <x:c r="C50" s="14" t="s">
        <x:v>33</x:v>
      </x:c>
      <x:c r="D50" s="27" t="s">
        <x:v>106</x:v>
      </x:c>
      <x:c r="E50" s="22" t="s">
        <x:v>188</x:v>
      </x:c>
    </x:row>
    <x:row r="51" ht="39.75" customHeight="1">
      <x:c r="A51" s="14" t="s">
        <x:v>189</x:v>
      </x:c>
      <x:c r="B51" s="23">
        <x:v>390.0</x:v>
      </x:c>
      <x:c r="C51" s="14" t="s">
        <x:v>190</x:v>
      </x:c>
      <x:c r="D51" s="27" t="s">
        <x:v>106</x:v>
      </x:c>
      <x:c r="E51" s="22" t="s">
        <x:v>191</x:v>
      </x:c>
    </x:row>
    <x:row r="52" ht="39.75" customHeight="1">
      <x:c r="A52" s="14" t="s">
        <x:v>192</x:v>
      </x:c>
      <x:c r="B52" s="23">
        <x:v>550.0</x:v>
      </x:c>
      <x:c r="C52" s="14" t="s">
        <x:v>30</x:v>
      </x:c>
      <x:c r="D52" s="27" t="s">
        <x:v>106</x:v>
      </x:c>
      <x:c r="E52" s="22" t="s">
        <x:v>193</x:v>
      </x:c>
    </x:row>
    <x:row r="53" ht="15.75" customHeight="1">
      <x:c r="A53" s="6" t="s">
        <x:v>194</x:v>
      </x:c>
      <x:c r="B53" s="7"/>
      <x:c r="C53" s="7"/>
      <x:c r="D53" s="7"/>
      <x:c r="E53" s="7"/>
    </x:row>
    <x:row r="54" ht="39.75" customHeight="1">
      <x:c r="A54" s="14" t="s">
        <x:v>195</x:v>
      </x:c>
      <x:c r="B54" s="23">
        <x:v>260.0</x:v>
      </x:c>
      <x:c r="C54" s="14" t="s">
        <x:v>196</x:v>
      </x:c>
      <x:c r="D54" s="27" t="s">
        <x:v>106</x:v>
      </x:c>
      <x:c r="E54" s="22" t="s">
        <x:v>197</x:v>
      </x:c>
    </x:row>
    <x:row r="55" ht="39.75" customHeight="1">
      <x:c r="A55" s="14" t="s">
        <x:v>198</x:v>
      </x:c>
      <x:c r="B55" s="23">
        <x:v>300.0</x:v>
      </x:c>
      <x:c r="C55" s="14" t="s">
        <x:v>199</x:v>
      </x:c>
      <x:c r="D55" s="27" t="s">
        <x:v>106</x:v>
      </x:c>
      <x:c r="E55" s="22" t="s">
        <x:v>200</x:v>
      </x:c>
    </x:row>
    <x:row r="56" ht="39.75" customHeight="1">
      <x:c r="A56" s="14" t="s">
        <x:v>201</x:v>
      </x:c>
      <x:c r="B56" s="23">
        <x:v>120.0</x:v>
      </x:c>
      <x:c r="C56" s="14" t="s">
        <x:v>202</x:v>
      </x:c>
      <x:c r="D56" s="27" t="s">
        <x:v>106</x:v>
      </x:c>
      <x:c r="E56" s="22" t="s">
        <x:v>203</x:v>
      </x:c>
    </x:row>
    <x:row r="57" ht="15.75" customHeight="1">
      <x:c r="A57" s="6" t="s">
        <x:v>204</x:v>
      </x:c>
      <x:c r="B57" s="7"/>
      <x:c r="C57" s="7"/>
      <x:c r="D57" s="7"/>
      <x:c r="E57" s="7"/>
    </x:row>
    <x:row r="58" ht="39.75" customHeight="1">
      <x:c r="A58" s="14" t="s">
        <x:v>205</x:v>
      </x:c>
      <x:c r="B58" s="23">
        <x:v>132.0</x:v>
      </x:c>
      <x:c r="C58" s="14" t="s">
        <x:v>33</x:v>
      </x:c>
      <x:c r="D58" s="27" t="s">
        <x:v>106</x:v>
      </x:c>
      <x:c r="E58" s="22" t="s">
        <x:v>206</x:v>
      </x:c>
    </x:row>
    <x:row r="59" ht="39.75" customHeight="1">
      <x:c r="A59" s="14" t="s">
        <x:v>207</x:v>
      </x:c>
      <x:c r="B59" s="23">
        <x:v>350.0</x:v>
      </x:c>
      <x:c r="C59" s="14" t="s">
        <x:v>208</x:v>
      </x:c>
      <x:c r="D59" s="27" t="s">
        <x:v>106</x:v>
      </x:c>
      <x:c r="E59" s="22" t="s">
        <x:v>209</x:v>
      </x:c>
    </x:row>
    <x:row r="60" ht="15.75" customHeight="1"/>
    <x:row r="61" ht="15.75" customHeight="1">
      <x:c r="A61" s="46" t="s">
        <x:v>210</x:v>
      </x:c>
    </x:row>
    <x:row r="62" ht="15.75" customHeight="1">
      <x:c r="A62" s="3" t="s">
        <x:v>211</x:v>
      </x:c>
    </x:row>
    <x:row r="63" ht="15.75" customHeight="1">
      <x:c r="A63" s="3" t="str">
        <x:v>- Group by shop. Buy the exact SN74AHCT244N, not a normal 74HC244. The AHCT input thresholds are suitable for 3.3 V STM32 signals while the chip runs at 5 V.</x:v>
      </x:c>
      <x:c r="B63"/>
      <x:c r="C63"/>
      <x:c r="D63"/>
      <x:c r="E63"/>
    </x:row>
    <x:row r="64" ht="15.75" customHeight="1">
      <x:c r="A64" s="3" t="s">
        <x:v>212</x:v>
      </x:c>
    </x:row>
    <x:row r="65" ht="15.75" customHeight="1">
      <x:c r="A65" s="3" t="s">
        <x:v>213</x:v>
      </x:c>
    </x:row>
    <x:row r="66" ht="15.75" customHeight="1">
      <x:c r="A66" s="3" t="s">
        <x:v>214</x:v>
      </x:c>
    </x:row>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hyperlinks>
    <x:hyperlink xmlns:r="http://schemas.openxmlformats.org/officeDocument/2006/relationships" ref="D6" r:id="Rf948f701cba24239"/>
    <x:hyperlink xmlns:r="http://schemas.openxmlformats.org/officeDocument/2006/relationships" ref="D7" r:id="R7df53abb8c524d82"/>
    <x:hyperlink xmlns:r="http://schemas.openxmlformats.org/officeDocument/2006/relationships" ref="D8" r:id="R2e8328b7776c4830"/>
    <x:hyperlink xmlns:r="http://schemas.openxmlformats.org/officeDocument/2006/relationships" ref="D10" r:id="R15fb115228474ab5"/>
    <x:hyperlink xmlns:r="http://schemas.openxmlformats.org/officeDocument/2006/relationships" ref="D11" r:id="Ra873f44d2d164e47"/>
    <x:hyperlink xmlns:r="http://schemas.openxmlformats.org/officeDocument/2006/relationships" ref="D12" r:id="Rf8b0b74d3b974fd7"/>
    <x:hyperlink xmlns:r="http://schemas.openxmlformats.org/officeDocument/2006/relationships" ref="D14" r:id="R7ed951fc30734144"/>
    <x:hyperlink xmlns:r="http://schemas.openxmlformats.org/officeDocument/2006/relationships" ref="D15" r:id="Rccc9eb2f3ea04d49"/>
    <x:hyperlink xmlns:r="http://schemas.openxmlformats.org/officeDocument/2006/relationships" ref="D16" r:id="R41d14bcdc2744f13"/>
    <x:hyperlink xmlns:r="http://schemas.openxmlformats.org/officeDocument/2006/relationships" ref="D18" r:id="R9cfcd2af1fd7463c"/>
    <x:hyperlink xmlns:r="http://schemas.openxmlformats.org/officeDocument/2006/relationships" ref="D19" r:id="R91ec69199e864833"/>
    <x:hyperlink xmlns:r="http://schemas.openxmlformats.org/officeDocument/2006/relationships" ref="D20" r:id="R3fe02c8004514e00"/>
    <x:hyperlink xmlns:r="http://schemas.openxmlformats.org/officeDocument/2006/relationships" ref="D22" r:id="Rb8d87cc68fef40d0"/>
    <x:hyperlink xmlns:r="http://schemas.openxmlformats.org/officeDocument/2006/relationships" ref="D23" r:id="Rd6fda5572f6c4abe"/>
    <x:hyperlink xmlns:r="http://schemas.openxmlformats.org/officeDocument/2006/relationships" ref="D24" r:id="R46e22385bb78406b"/>
    <x:hyperlink xmlns:r="http://schemas.openxmlformats.org/officeDocument/2006/relationships" ref="D26" r:id="Rbadc2e337c4b4f04"/>
    <x:hyperlink xmlns:r="http://schemas.openxmlformats.org/officeDocument/2006/relationships" ref="D27" r:id="R3090f22d12524465"/>
    <x:hyperlink xmlns:r="http://schemas.openxmlformats.org/officeDocument/2006/relationships" ref="D28" r:id="Rffac294d81404dcd"/>
    <x:hyperlink xmlns:r="http://schemas.openxmlformats.org/officeDocument/2006/relationships" ref="D30" r:id="R2c7101cd8da448f9"/>
    <x:hyperlink xmlns:r="http://schemas.openxmlformats.org/officeDocument/2006/relationships" ref="D31" r:id="Rdaaaea0e79794052"/>
    <x:hyperlink xmlns:r="http://schemas.openxmlformats.org/officeDocument/2006/relationships" ref="D32" r:id="R893f91a497344de5"/>
    <x:hyperlink xmlns:r="http://schemas.openxmlformats.org/officeDocument/2006/relationships" ref="D34" r:id="Ra8108c02f7064488"/>
    <x:hyperlink xmlns:r="http://schemas.openxmlformats.org/officeDocument/2006/relationships" ref="D35" r:id="Rfda739e6a56a49f7"/>
    <x:hyperlink xmlns:r="http://schemas.openxmlformats.org/officeDocument/2006/relationships" ref="D36" r:id="R0afdcfd3f7204b14"/>
    <x:hyperlink xmlns:r="http://schemas.openxmlformats.org/officeDocument/2006/relationships" ref="D38" r:id="Refd9032b11ba4e4c"/>
    <x:hyperlink xmlns:r="http://schemas.openxmlformats.org/officeDocument/2006/relationships" ref="D39" r:id="Re8edb497221a4da3"/>
    <x:hyperlink xmlns:r="http://schemas.openxmlformats.org/officeDocument/2006/relationships" ref="D40" r:id="R68a6cd7c49dc46a6"/>
    <x:hyperlink xmlns:r="http://schemas.openxmlformats.org/officeDocument/2006/relationships" ref="D42" r:id="R6358926ad9cd45c2"/>
    <x:hyperlink xmlns:r="http://schemas.openxmlformats.org/officeDocument/2006/relationships" ref="D43" r:id="R1d4e173eaa7d43fd"/>
    <x:hyperlink xmlns:r="http://schemas.openxmlformats.org/officeDocument/2006/relationships" ref="D44" r:id="Rcd7379b282af4075"/>
    <x:hyperlink xmlns:r="http://schemas.openxmlformats.org/officeDocument/2006/relationships" ref="D46" r:id="R415c5e8480e44fd9"/>
    <x:hyperlink xmlns:r="http://schemas.openxmlformats.org/officeDocument/2006/relationships" ref="D47" r:id="R6c335e7f5ba54b86"/>
    <x:hyperlink xmlns:r="http://schemas.openxmlformats.org/officeDocument/2006/relationships" ref="D48" r:id="R6ac4849a23e147a1"/>
    <x:hyperlink xmlns:r="http://schemas.openxmlformats.org/officeDocument/2006/relationships" ref="D50" r:id="R23a3ccd17cfc4e80"/>
    <x:hyperlink xmlns:r="http://schemas.openxmlformats.org/officeDocument/2006/relationships" ref="D51" r:id="Rd140ed5ee2364f4b"/>
    <x:hyperlink xmlns:r="http://schemas.openxmlformats.org/officeDocument/2006/relationships" ref="D52" r:id="R26db3ba874304966"/>
    <x:hyperlink xmlns:r="http://schemas.openxmlformats.org/officeDocument/2006/relationships" ref="D54" r:id="Redd8fdf38a5a4445"/>
    <x:hyperlink xmlns:r="http://schemas.openxmlformats.org/officeDocument/2006/relationships" ref="D55" r:id="Rd4fc4849e97741d9"/>
    <x:hyperlink xmlns:r="http://schemas.openxmlformats.org/officeDocument/2006/relationships" ref="D56" r:id="Rb6a83b4b235b432b"/>
    <x:hyperlink xmlns:r="http://schemas.openxmlformats.org/officeDocument/2006/relationships" ref="D58" r:id="R3049d805a9ed48c9"/>
    <x:hyperlink xmlns:r="http://schemas.openxmlformats.org/officeDocument/2006/relationships" ref="D59" r:id="R46f7faf2799840ef"/>
  </x:hyperlink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1" width="32" customWidth="1"/>
    <x:col min="2" max="2" width="64" customWidth="1"/>
    <x:col min="3" max="3" width="56" customWidth="1"/>
    <x:col min="4" max="4" width="11" customWidth="1"/>
    <x:col min="5" max="5" width="8" customWidth="1"/>
    <x:col min="6" max="26" width="8.710000038146973" customWidth="1"/>
  </x:cols>
  <x:sheetData>
    <x:row r="1">
      <x:c r="A1" s="2" t="s">
        <x:v>215</x:v>
      </x:c>
    </x:row>
    <x:row r="2">
      <x:c r="A2" s="3" t="s">
        <x:v>216</x:v>
      </x:c>
    </x:row>
    <x:row r="4">
      <x:c r="A4" s="4" t="s">
        <x:v>217</x:v>
      </x:c>
      <x:c r="B4" s="4" t="s">
        <x:v>218</x:v>
      </x:c>
      <x:c r="C4" s="4" t="s">
        <x:v>219</x:v>
      </x:c>
      <x:c r="D4" s="4" t="s">
        <x:v>220</x:v>
      </x:c>
      <x:c r="E4" s="4" t="s">
        <x:v>8</x:v>
      </x:c>
    </x:row>
    <x:row r="5" ht="58" customHeight="1">
      <x:c r="A5" s="5" t="str">
        <x:v>Servo current sent through the SN74AHCT244N</x:v>
      </x:c>
      <x:c r="B5" s="5" t="str">
        <x:v>The logic-buffer pins cannot carry motor current and may be damaged.</x:v>
      </x:c>
      <x:c r="C5" s="5" t="str">
        <x:v>Only the orange PWM signal wire passes through the buffer. Servo red and black wires connect to the separate 6.0 V distribution block.</x:v>
      </x:c>
      <x:c r="D5" s="8" t="n">
        <x:v>0</x:v>
      </x:c>
      <x:c r="E5" s="87" t="str">
        <x:v>https://www.ti.com/product/SN74AHCT244</x:v>
      </x:c>
    </x:row>
    <x:row r="6" ht="72" customHeight="1">
      <x:c r="A6" s="5" t="s">
        <x:v>221</x:v>
      </x:c>
      <x:c r="B6" s="5" t="s">
        <x:v>222</x:v>
      </x:c>
      <x:c r="C6" s="5" t="s">
        <x:v>223</x:v>
      </x:c>
      <x:c r="D6" s="8">
        <x:v>75.0</x:v>
      </x:c>
      <x:c r="E6" s="19" t="s">
        <x:v>106</x:v>
      </x:c>
    </x:row>
    <x:row r="7" ht="72" customHeight="1">
      <x:c r="A7" s="22" t="s">
        <x:v>224</x:v>
      </x:c>
      <x:c r="B7" s="22" t="s">
        <x:v>225</x:v>
      </x:c>
      <x:c r="C7" s="22" t="s">
        <x:v>226</x:v>
      </x:c>
      <x:c r="D7" s="23">
        <x:v>0.0</x:v>
      </x:c>
      <x:c r="E7" s="27" t="s">
        <x:v>106</x:v>
      </x:c>
    </x:row>
    <x:row r="8" ht="72" customHeight="1">
      <x:c r="A8" s="22" t="s">
        <x:v>227</x:v>
      </x:c>
      <x:c r="B8" s="22" t="s">
        <x:v>228</x:v>
      </x:c>
      <x:c r="C8" s="22" t="s">
        <x:v>229</x:v>
      </x:c>
      <x:c r="D8" s="23">
        <x:v>0.0</x:v>
      </x:c>
      <x:c r="E8" s="27" t="s">
        <x:v>106</x:v>
      </x:c>
    </x:row>
    <x:row r="9" ht="72" customHeight="1">
      <x:c r="A9" s="22" t="s">
        <x:v>230</x:v>
      </x:c>
      <x:c r="B9" s="22" t="s">
        <x:v>231</x:v>
      </x:c>
      <x:c r="C9" s="22" t="s">
        <x:v>232</x:v>
      </x:c>
      <x:c r="D9" s="23">
        <x:v>500.0</x:v>
      </x:c>
      <x:c r="E9" s="27" t="s">
        <x:v>106</x:v>
      </x:c>
    </x:row>
    <x:row r="10" ht="72" customHeight="1">
      <x:c r="A10" s="22" t="s">
        <x:v>233</x:v>
      </x:c>
      <x:c r="B10" s="22" t="s">
        <x:v>234</x:v>
      </x:c>
      <x:c r="C10" s="22" t="s">
        <x:v>235</x:v>
      </x:c>
      <x:c r="D10" s="23">
        <x:v>390.0</x:v>
      </x:c>
      <x:c r="E10" s="27" t="s">
        <x:v>106</x:v>
      </x:c>
    </x:row>
    <x:row r="11" ht="72" customHeight="1">
      <x:c r="A11" s="22" t="s">
        <x:v>236</x:v>
      </x:c>
      <x:c r="B11" s="22" t="s">
        <x:v>237</x:v>
      </x:c>
      <x:c r="C11" s="22" t="s">
        <x:v>238</x:v>
      </x:c>
      <x:c r="D11" s="23">
        <x:v>0.0</x:v>
      </x:c>
      <x:c r="E11" s="27" t="s">
        <x:v>106</x:v>
      </x:c>
    </x:row>
    <x:row r="12" ht="66" customHeight="1">
      <x:c r="A12" s="22" t="str">
        <x:v>Servo PWM becomes unstable</x:v>
      </x:c>
      <x:c r="B12" s="22" t="str">
        <x:v>Software-generated PWM, timer conflicts or a floating output-enable pin can cause jitter or unexpected movement.</x:v>
      </x:c>
      <x:c r="C12" s="22" t="str">
        <x:v>Use STM32 hardware timers, hold both SN74AHCT244N output-enable pins LOW, fit a 100 nF capacitor at the chip, and verify the final pins in CubeMX.</x:v>
      </x:c>
      <x:c r="D12" s="23" t="n">
        <x:v>5</x:v>
      </x:c>
      <x:c r="E12" s="77" t="str">
        <x:v>https://www.ti.com/product/SN74AHCT244</x:v>
      </x:c>
    </x:row>
    <x:row r="13" ht="72" customHeight="1">
      <x:c r="A13" s="22" t="s">
        <x:v>239</x:v>
      </x:c>
      <x:c r="B13" s="22" t="s">
        <x:v>240</x:v>
      </x:c>
      <x:c r="C13" s="22" t="s">
        <x:v>241</x:v>
      </x:c>
      <x:c r="D13" s="23">
        <x:v>0.0</x:v>
      </x:c>
      <x:c r="E13" s="27" t="s">
        <x:v>106</x:v>
      </x:c>
    </x:row>
    <x:row r="14" ht="72" customHeight="1">
      <x:c r="A14" s="22" t="s">
        <x:v>242</x:v>
      </x:c>
      <x:c r="B14" s="22" t="s">
        <x:v>243</x:v>
      </x:c>
      <x:c r="C14" s="22" t="s">
        <x:v>244</x:v>
      </x:c>
      <x:c r="D14" s="23">
        <x:v>0.0</x:v>
      </x:c>
      <x:c r="E14" s="27" t="s">
        <x:v>106</x:v>
      </x:c>
    </x:row>
    <x:row r="15" ht="72" customHeight="1">
      <x:c r="A15" s="22" t="s">
        <x:v>245</x:v>
      </x:c>
      <x:c r="B15" s="22" t="s">
        <x:v>246</x:v>
      </x:c>
      <x:c r="C15" s="22" t="s">
        <x:v>247</x:v>
      </x:c>
      <x:c r="D15" s="23">
        <x:v>150.0</x:v>
      </x:c>
      <x:c r="E15" s="27" t="s">
        <x:v>106</x:v>
      </x:c>
    </x:row>
    <x:row r="16" ht="72" customHeight="1">
      <x:c r="A16" s="22" t="s">
        <x:v>248</x:v>
      </x:c>
      <x:c r="B16" s="22" t="s">
        <x:v>249</x:v>
      </x:c>
      <x:c r="C16" s="22" t="s">
        <x:v>250</x:v>
      </x:c>
      <x:c r="D16" s="23">
        <x:v>85.0</x:v>
      </x:c>
      <x:c r="E16" s="27" t="s">
        <x:v>106</x:v>
      </x:c>
    </x:row>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hyperlinks>
    <x:hyperlink xmlns:r="http://schemas.openxmlformats.org/officeDocument/2006/relationships" ref="E5" r:id="R5c599f66061d42d2"/>
    <x:hyperlink xmlns:r="http://schemas.openxmlformats.org/officeDocument/2006/relationships" ref="E6" r:id="R425da270d0884f05"/>
    <x:hyperlink xmlns:r="http://schemas.openxmlformats.org/officeDocument/2006/relationships" ref="E7" r:id="R4d471eaa90e44b74"/>
    <x:hyperlink xmlns:r="http://schemas.openxmlformats.org/officeDocument/2006/relationships" ref="E8" r:id="Rb46b4dd8c52e4e63"/>
    <x:hyperlink xmlns:r="http://schemas.openxmlformats.org/officeDocument/2006/relationships" ref="E9" r:id="R6f7b514d325947bc"/>
    <x:hyperlink xmlns:r="http://schemas.openxmlformats.org/officeDocument/2006/relationships" ref="E10" r:id="R4114b09249a34164"/>
    <x:hyperlink xmlns:r="http://schemas.openxmlformats.org/officeDocument/2006/relationships" ref="E11" r:id="Re8e889a272354d3e"/>
    <x:hyperlink xmlns:r="http://schemas.openxmlformats.org/officeDocument/2006/relationships" ref="E12" r:id="Re06ee86e49ce4b61"/>
    <x:hyperlink xmlns:r="http://schemas.openxmlformats.org/officeDocument/2006/relationships" ref="E13" r:id="R4270d7814ac74bc9"/>
    <x:hyperlink xmlns:r="http://schemas.openxmlformats.org/officeDocument/2006/relationships" ref="E14" r:id="R89308f919e2d43a4"/>
    <x:hyperlink xmlns:r="http://schemas.openxmlformats.org/officeDocument/2006/relationships" ref="E15" r:id="Rcc3fb525439944f3"/>
    <x:hyperlink xmlns:r="http://schemas.openxmlformats.org/officeDocument/2006/relationships" ref="E16" r:id="R5c5bfe71c4dc40f6"/>
  </x:hyperlinks>
  <x:pageMargins left="0.7" right="0.7" top="0.75" bottom="0.75" header="0.3" footer="0.3"/>
</x:worksheet>
</file>