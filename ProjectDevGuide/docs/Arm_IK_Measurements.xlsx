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xes" sheetId="1" state="visible" r:id="rId3"/>
    <sheet name="IK Lengths" sheetId="2" state="visible" r:id="rId4"/>
    <sheet name="Real Arm Check" sheetId="3" state="visible" r:id="rId5"/>
    <sheet name="Method &amp; Notes" sheetId="4" state="visible" r:id="rId6"/>
    <sheet name="FK Geomet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<sst xmlns="http://schemas.openxmlformats.org/spreadsheetml/2006/main" count="175" uniqueCount="150">
  <si>
    <t xml:space="preserve">Servo rotation axes - ARM_ASSEMBLY, all joints at 0 deg (arm straight up)</t>
  </si>
  <si>
    <t xml:space="preserve">Fusion frame: Y = up, units mm. Blue = measured in CAD. Yellow = depends on an answer still open. Point = centre of horn hub on the axis.</t>
  </si>
  <si>
    <t xml:space="preserve">Joint</t>
  </si>
  <si>
    <t xml:space="preserve">Name</t>
  </si>
  <si>
    <t xml:space="preserve">Servo</t>
  </si>
  <si>
    <t xml:space="preserve">Mounted in</t>
  </si>
  <si>
    <t xml:space="preserve">Rotates around</t>
  </si>
  <si>
    <t xml:space="preserve">Axis dir</t>
  </si>
  <si>
    <t xml:space="preserve">X (mm)</t>
  </si>
  <si>
    <t xml:space="preserve">Y (mm)</t>
  </si>
  <si>
    <t xml:space="preserve">Z (mm)</t>
  </si>
  <si>
    <t xml:space="preserve">Note</t>
  </si>
  <si>
    <t xml:space="preserve">J1</t>
  </si>
  <si>
    <t xml:space="preserve">Base</t>
  </si>
  <si>
    <t xml:space="preserve">MG996R</t>
  </si>
  <si>
    <t xml:space="preserve">base_link</t>
  </si>
  <si>
    <t xml:space="preserve">Vertical</t>
  </si>
  <si>
    <t xml:space="preserve">Y</t>
  </si>
  <si>
    <t xml:space="preserve">Line x=0, z=18.18</t>
  </si>
  <si>
    <t xml:space="preserve">J2</t>
  </si>
  <si>
    <t xml:space="preserve">Shoulder</t>
  </si>
  <si>
    <t xml:space="preserve">base_link_upper</t>
  </si>
  <si>
    <t xml:space="preserve">Horizontal</t>
  </si>
  <si>
    <t xml:space="preserve">Z</t>
  </si>
  <si>
    <t xml:space="preserve">Z irrelevant (axis runs along Z)</t>
  </si>
  <si>
    <t xml:space="preserve">J3</t>
  </si>
  <si>
    <t xml:space="preserve">Elbow</t>
  </si>
  <si>
    <t xml:space="preserve">arm_link_1</t>
  </si>
  <si>
    <t xml:space="preserve">Z irrelevant</t>
  </si>
  <si>
    <t xml:space="preserve">J4</t>
  </si>
  <si>
    <t xml:space="preserve">Wrist roll</t>
  </si>
  <si>
    <t xml:space="preserve">SG92R</t>
  </si>
  <si>
    <t xml:space="preserve">arm_link_2</t>
  </si>
  <si>
    <t xml:space="preserve">Along the arm</t>
  </si>
  <si>
    <t xml:space="preserve">Y irrelevant (axis runs along Y). CAD joint name: Wrist Roll</t>
  </si>
  <si>
    <t xml:space="preserve">J5</t>
  </si>
  <si>
    <t xml:space="preserve">Wrist pitch</t>
  </si>
  <si>
    <t xml:space="preserve">arm_link_3</t>
  </si>
  <si>
    <t xml:space="preserve">Z irrelevant. CAD joint name: Wrist Pitch</t>
  </si>
  <si>
    <t xml:space="preserve">J6</t>
  </si>
  <si>
    <t xml:space="preserve">Gripper</t>
  </si>
  <si>
    <t xml:space="preserve">gripper_base</t>
  </si>
  <si>
    <t xml:space="preserve">Opens/closes jaws</t>
  </si>
  <si>
    <t xml:space="preserve">X</t>
  </si>
  <si>
    <t xml:space="preserve">Not part of IK chain</t>
  </si>
  <si>
    <t xml:space="preserve">Reference points</t>
  </si>
  <si>
    <t xml:space="preserve">Item</t>
  </si>
  <si>
    <t xml:space="preserve">Table surface</t>
  </si>
  <si>
    <t xml:space="preserve">base_plate bottom (base_plate added in ARM_ASSEMBLY v24). Was -30.5 without plate</t>
  </si>
  <si>
    <t xml:space="preserve">Left jaw tip</t>
  </si>
  <si>
    <t xml:space="preserve">gripper_part_left max Y at file-open pose. Moves 403-409 with jaw opening</t>
  </si>
  <si>
    <t xml:space="preserve">Right jaw tip</t>
  </si>
  <si>
    <t xml:space="preserve">gripper_part_right max Y at file-open pose. Moves 403-409 with jaw opening</t>
  </si>
  <si>
    <t xml:space="preserve">Jaw midplane</t>
  </si>
  <si>
    <t xml:space="preserve">Midway between jaw inner faces. Checked at gear -10/0/10/20 deg: 27.6-28.1 every time, so Z does not depend on jaw opening.</t>
  </si>
  <si>
    <t xml:space="preserve">Jaw thickness centre</t>
  </si>
  <si>
    <t xml:space="preserve">Jaws span X -16.64 .. -3.64 at the tip, centre -10.14</t>
  </si>
  <si>
    <t xml:space="preserve">Object centre (grip point) - CAD, file-open jaw pose</t>
  </si>
  <si>
    <t xml:space="preserve">CAD only. Y = file-open jaw tips avg - 3.5; NOT the measured grip position. X/Z are pose-independent. FK uses FK Geometry!D10 (103.5) for the along-tool distance.</t>
  </si>
  <si>
    <t xml:space="preserve">Object (block) size</t>
  </si>
  <si>
    <t xml:space="preserve">Width, between jaws (Z)</t>
  </si>
  <si>
    <t xml:space="preserve">Measured. Jaw gap at tip in CAD pose (gear 20 deg) = 26.7, so 25 fits</t>
  </si>
  <si>
    <t xml:space="preserve">Height, across jaw thickness (X)</t>
  </si>
  <si>
    <t xml:space="preserve">Length, along the tool axis (Y)</t>
  </si>
  <si>
    <t xml:space="preserve">Link lengths for inverse kinematics (formulas from the Axes sheet)</t>
  </si>
  <si>
    <t xml:space="preserve">From -&gt; to</t>
  </si>
  <si>
    <t xml:space="preserve">Value (mm)</t>
  </si>
  <si>
    <t xml:space="preserve">Meaning</t>
  </si>
  <si>
    <t xml:space="preserve">Formula basis</t>
  </si>
  <si>
    <t xml:space="preserve">Table -&gt; J2 (shoulder height)</t>
  </si>
  <si>
    <t xml:space="preserve">Height of shoulder axis above table</t>
  </si>
  <si>
    <t xml:space="preserve">J2.Y - table.Y</t>
  </si>
  <si>
    <t xml:space="preserve">J1 -&gt; J2 forward offset</t>
  </si>
  <si>
    <t xml:space="preserve">Shoulder pivot sits off the base axis in the reach direction (-X)</t>
  </si>
  <si>
    <t xml:space="preserve">|J2.X - J1.X|</t>
  </si>
  <si>
    <t xml:space="preserve">J1 -&gt; arm sideways offset</t>
  </si>
  <si>
    <t xml:space="preserve">Whole arm runs to the side of the base axis</t>
  </si>
  <si>
    <t xml:space="preserve">|J4.Z - J1.Z|</t>
  </si>
  <si>
    <t xml:space="preserve">J2 -&gt; J3 (upper arm)</t>
  </si>
  <si>
    <t xml:space="preserve">Upper arm</t>
  </si>
  <si>
    <t xml:space="preserve">J3.Y - J2.Y</t>
  </si>
  <si>
    <t xml:space="preserve">J3 -&gt; J5 (forearm)</t>
  </si>
  <si>
    <t xml:space="preserve">Forearm; J4 roll axis lies on this line</t>
  </si>
  <si>
    <t xml:space="preserve">J5.Y - J3.Y</t>
  </si>
  <si>
    <t xml:space="preserve">J5 -&gt; jaw tip</t>
  </si>
  <si>
    <t xml:space="preserve">Wrist pitch axis to jaw tip</t>
  </si>
  <si>
    <t xml:space="preserve">avg(jaw tips) - J5.Y</t>
  </si>
  <si>
    <t xml:space="preserve">J5 -&gt; grip point (tool length)</t>
  </si>
  <si>
    <t xml:space="preserve">CAD-only tool length for comparison. Use FK Geometry!D10 for the measured-derived tool length (103.5).</t>
  </si>
  <si>
    <t xml:space="preserve">J5-&gt;tip - grip offset</t>
  </si>
  <si>
    <t xml:space="preserve">Grip point back from jaw tip (mm)</t>
  </si>
  <si>
    <t xml:space="preserve">Confirmed: block centre 3.5 mm back from the jaw tip</t>
  </si>
  <si>
    <t xml:space="preserve"> </t>
  </si>
  <si>
    <t xml:space="preserve">Base angle with sideways offset</t>
  </si>
  <si>
    <t xml:space="preserve">theta1 = atan2(y, x) - asin(d / r), where d = sideways offset (B6) and r = horizontal distance from base axis to target</t>
  </si>
  <si>
    <t xml:space="preserve">Axes J2, J3, J5 are parallel. J4 crosses the J3 and J5 axes. Roll (J4) comes before pitch (J5) in the chain.</t>
  </si>
  <si>
    <t xml:space="preserve">J5 -&gt; object centre, along tool</t>
  </si>
  <si>
    <t xml:space="preserve">CAD only. Tip Y moves with jaw opening, so this is a cross-check, not the value to use</t>
  </si>
  <si>
    <t xml:space="preserve">obj.Y - J5.Y</t>
  </si>
  <si>
    <t xml:space="preserve">Object centre offset across J5 axis (X)</t>
  </si>
  <si>
    <t xml:space="preserve">Sideways from the wrist line in the pitch plane</t>
  </si>
  <si>
    <t xml:space="preserve">obj.X - J5.X</t>
  </si>
  <si>
    <t xml:space="preserve">Object centre offset from roll axis (Z)</t>
  </si>
  <si>
    <t xml:space="preserve">Off the J4 roll axis, perpendicular to pitch plane</t>
  </si>
  <si>
    <t xml:space="preserve">obj.Z - J4.Z</t>
  </si>
  <si>
    <t xml:space="preserve">Note: object-centre X/Z offsets are measured with J4 = J5 = 0. They rotate with the wrist, so FK must apply them in the J5 frame, not as fixed world offsets.</t>
  </si>
  <si>
    <t xml:space="preserve">Check CAD against the printed arm (arm straight up, measure screw centre to screw centre)</t>
  </si>
  <si>
    <t xml:space="preserve">Fill the yellow column. Flag shows CHECK when the difference is over the tolerance.</t>
  </si>
  <si>
    <t xml:space="preserve">Tolerance (mm)</t>
  </si>
  <si>
    <t xml:space="preserve">Measurement</t>
  </si>
  <si>
    <t xml:space="preserve">CAD (mm)</t>
  </si>
  <si>
    <t xml:space="preserve">Real (mm)</t>
  </si>
  <si>
    <t xml:space="preserve">Diff (mm)</t>
  </si>
  <si>
    <t xml:space="preserve">Flag</t>
  </si>
  <si>
    <t xml:space="preserve">Floor -&gt; stand -&gt; J2 shoulder screw centre</t>
  </si>
  <si>
    <t xml:space="preserve">J2 Shoulder → J3 Elbow screw center</t>
  </si>
  <si>
    <t xml:space="preserve">J3 Elbow → J5 Wrist pitch screw center</t>
  </si>
  <si>
    <t xml:space="preserve">J5 Wrist pitch → jaw tip</t>
  </si>
  <si>
    <t xml:space="preserve">J5 Wrist pitch -&gt; object centre (DERIVED: 107 - 3.5)</t>
  </si>
  <si>
    <t xml:space="preserve">How it was measured</t>
  </si>
  <si>
    <t xml:space="preserve">1. All 13 revolute joints in ARM_ASSEMBLY set to 0 deg (as-built pose, arm straight up). Pose not saved.</t>
  </si>
  <si>
    <t xml:space="preserve">2. For each servo, the horn hub cylinder was found (MG996R round horn hub dia 9.0; SG92R two-arm horn hub dia 6.9). Its centre line = the servo rotation axis.</t>
  </si>
  <si>
    <t xml:space="preserve">3. Distances measured between those axis lines in the Fusion frame (Y up). Table = base_plate bottom, Y = -34.5.</t>
  </si>
  <si>
    <t xml:space="preserve">Things to check</t>
  </si>
  <si>
    <t xml:space="preserve">- PWM table in the guide says J4 = wrist pitch (PD13), J5 = rotation (PD14). In CAD the servo in arm_link_2 (first in the chain) is the ROLL. Swap labels in firmware or wire to match.</t>
  </si>
  <si>
    <t xml:space="preserve">- The 15.3 mm sideways offset changes the base angle: theta1 = atan2(y,x) - asin(d/r).</t>
  </si>
  <si>
    <t xml:space="preserve">- CAD lengths are within about 1 mm of the print. Larger real-world errors come from servo zero offsets (calibration table) and arm sag / gear backlash.</t>
  </si>
  <si>
    <t xml:space="preserve">- Object centre: X/Z from jaw geometry in CAD (jaw thickness centre, jaw midplane). Y depends on how deep the block sits in the jaws.</t>
  </si>
  <si>
    <t xml:space="preserve">- Jaw tips in CAD move with the gear angle: tips Y 403.2-405.0 at gear 20 deg, 406.0-407.3 at 10 deg, 408.0-408.7 at 0 deg, 409.1-409.4 at -10 deg (closed). The 409.12/407.12 values came from the file-open state. Tool length therefore uses the ruler measurement.</t>
  </si>
  <si>
    <t xml:space="preserve">- Jaw midplane Z stays 27.6-28.1 at every jaw opening -&gt; 27.7 used. The 29.6-29.8 value is the gear-pivot midplane, not the jaw faces.</t>
  </si>
  <si>
    <t xml:space="preserve">- Shoulder height (CONDITIONAL): CAD 94.22 is J2 axis above base_plate bottom (Y -34.5). The comparison with the 94 ruler value holds only if the ruler started at the surface the plate sits on.</t>
  </si>
  <si>
    <t xml:space="preserve">Geometry for FK, CAD vs measured. Pick the "Use" column in code.</t>
  </si>
  <si>
    <t xml:space="preserve">Parameter</t>
  </si>
  <si>
    <t xml:space="preserve">Measured (mm)</t>
  </si>
  <si>
    <t xml:space="preserve">Use (mm)</t>
  </si>
  <si>
    <t xml:space="preserve">Source of Use</t>
  </si>
  <si>
    <t xml:space="preserve">Floor -&gt; J2 height</t>
  </si>
  <si>
    <t xml:space="preserve">measured</t>
  </si>
  <si>
    <t xml:space="preserve">Includes base_plate</t>
  </si>
  <si>
    <t xml:space="preserve">CAD</t>
  </si>
  <si>
    <t xml:space="preserve">Not measurable easily on the real arm</t>
  </si>
  <si>
    <t xml:space="preserve">J2 -&gt; J3 upper arm</t>
  </si>
  <si>
    <t xml:space="preserve">J3 -&gt; J5 forearm</t>
  </si>
  <si>
    <t xml:space="preserve">J4 roll sits on this line</t>
  </si>
  <si>
    <t xml:space="preserve">J5 -&gt; object centre (along tool)</t>
  </si>
  <si>
    <t xml:space="preserve">Derived: measured J5-&gt;tip 107 minus 3.5 centre setback (not a direct measurement)</t>
  </si>
  <si>
    <t xml:space="preserve">Object offset X (in J5 frame)</t>
  </si>
  <si>
    <t xml:space="preserve">Object offset Z (from roll axis)</t>
  </si>
  <si>
    <t xml:space="preserve">CAD jaw midplane 27.7 - roll axis 33.43</t>
  </si>
  <si>
    <t xml:space="preserve">Use column: takes Measured only when Source = "measured" AND the Measured cell is filled; otherwise falls back to CAD.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</si>
</sst>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19" activeCellId="0" sqref="G19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9" min="7" style="1" width="10"/>
    <col collapsed="false" customWidth="true" hidden="false" outlineLevel="0" max="10" min="10" style="1" width="52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6" t="n">
        <v>0</v>
      </c>
      <c r="H5" s="6" t="n">
        <v>11.27</v>
      </c>
      <c r="I5" s="6" t="n">
        <v>18.18</v>
      </c>
      <c r="J5" s="5" t="s">
        <v>18</v>
      </c>
    </row>
    <row r="6" customFormat="false" ht="15" hidden="false" customHeight="true" outlineLevel="0" collapsed="false">
      <c r="A6" s="5" t="s">
        <v>19</v>
      </c>
      <c r="B6" s="5" t="s">
        <v>20</v>
      </c>
      <c r="C6" s="5" t="s">
        <v>14</v>
      </c>
      <c r="D6" s="5" t="s">
        <v>21</v>
      </c>
      <c r="E6" s="5" t="s">
        <v>22</v>
      </c>
      <c r="F6" s="5" t="s">
        <v>23</v>
      </c>
      <c r="G6" s="6" t="n">
        <v>-23.15</v>
      </c>
      <c r="H6" s="6" t="n">
        <v>59.72</v>
      </c>
      <c r="I6" s="6" t="n">
        <v>21.08</v>
      </c>
      <c r="J6" s="5" t="s">
        <v>24</v>
      </c>
    </row>
    <row r="7" customFormat="false" ht="15" hidden="false" customHeight="true" outlineLevel="0" collapsed="false">
      <c r="A7" s="5" t="s">
        <v>25</v>
      </c>
      <c r="B7" s="5" t="s">
        <v>26</v>
      </c>
      <c r="C7" s="5" t="s">
        <v>14</v>
      </c>
      <c r="D7" s="5" t="s">
        <v>27</v>
      </c>
      <c r="E7" s="5" t="s">
        <v>22</v>
      </c>
      <c r="F7" s="5" t="s">
        <v>23</v>
      </c>
      <c r="G7" s="6" t="n">
        <v>-23.14</v>
      </c>
      <c r="H7" s="6" t="n">
        <v>172.84</v>
      </c>
      <c r="I7" s="6" t="n">
        <v>14.18</v>
      </c>
      <c r="J7" s="5" t="s">
        <v>28</v>
      </c>
    </row>
    <row r="8" customFormat="false" ht="15" hidden="false" customHeight="true" outlineLevel="0" collapsed="false">
      <c r="A8" s="5" t="s">
        <v>29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17</v>
      </c>
      <c r="G8" s="6" t="n">
        <v>-23.14</v>
      </c>
      <c r="H8" s="6" t="n">
        <v>269.09</v>
      </c>
      <c r="I8" s="6" t="n">
        <v>33.43</v>
      </c>
      <c r="J8" s="5" t="s">
        <v>34</v>
      </c>
    </row>
    <row r="9" customFormat="false" ht="15" hidden="false" customHeight="true" outlineLevel="0" collapsed="false">
      <c r="A9" s="5" t="s">
        <v>35</v>
      </c>
      <c r="B9" s="5" t="s">
        <v>36</v>
      </c>
      <c r="C9" s="5" t="s">
        <v>31</v>
      </c>
      <c r="D9" s="5" t="s">
        <v>37</v>
      </c>
      <c r="E9" s="5" t="s">
        <v>22</v>
      </c>
      <c r="F9" s="5" t="s">
        <v>23</v>
      </c>
      <c r="G9" s="6" t="n">
        <v>-23.14</v>
      </c>
      <c r="H9" s="6" t="n">
        <v>299.24</v>
      </c>
      <c r="I9" s="6" t="n">
        <v>19.08</v>
      </c>
      <c r="J9" s="5" t="s">
        <v>38</v>
      </c>
    </row>
    <row r="10" customFormat="false" ht="15" hidden="false" customHeight="true" outlineLevel="0" collapsed="false">
      <c r="A10" s="5" t="s">
        <v>39</v>
      </c>
      <c r="B10" s="5" t="s">
        <v>40</v>
      </c>
      <c r="C10" s="5" t="s">
        <v>31</v>
      </c>
      <c r="D10" s="5" t="s">
        <v>41</v>
      </c>
      <c r="E10" s="5" t="s">
        <v>42</v>
      </c>
      <c r="F10" s="5" t="s">
        <v>43</v>
      </c>
      <c r="G10" s="6" t="n">
        <v>-13.05</v>
      </c>
      <c r="H10" s="6" t="n">
        <v>324.32</v>
      </c>
      <c r="I10" s="6" t="n">
        <v>43.65</v>
      </c>
      <c r="J10" s="5" t="s">
        <v>44</v>
      </c>
    </row>
    <row r="12" customFormat="false" ht="15" hidden="false" customHeight="true" outlineLevel="0" collapsed="false">
      <c r="A12" s="7" t="s">
        <v>45</v>
      </c>
    </row>
    <row r="13" customFormat="false" ht="15" hidden="false" customHeight="true" outlineLevel="0" collapsed="false">
      <c r="A13" s="4" t="s">
        <v>46</v>
      </c>
      <c r="B13" s="4"/>
      <c r="C13" s="4"/>
      <c r="D13" s="4"/>
      <c r="E13" s="4"/>
      <c r="F13" s="4"/>
      <c r="G13" s="4" t="s">
        <v>8</v>
      </c>
      <c r="H13" s="4" t="s">
        <v>9</v>
      </c>
      <c r="I13" s="4" t="s">
        <v>10</v>
      </c>
      <c r="J13" s="4" t="s">
        <v>11</v>
      </c>
    </row>
    <row r="14" customFormat="false" ht="15" hidden="false" customHeight="true" outlineLevel="0" collapsed="false">
      <c r="A14" s="5" t="s">
        <v>47</v>
      </c>
      <c r="B14" s="8"/>
      <c r="C14" s="8"/>
      <c r="D14" s="8"/>
      <c r="E14" s="8"/>
      <c r="F14" s="8"/>
      <c r="G14" s="8"/>
      <c r="H14" s="6" t="n">
        <v>-34.5</v>
      </c>
      <c r="I14" s="8"/>
      <c r="J14" s="5" t="s">
        <v>48</v>
      </c>
    </row>
    <row r="15" customFormat="false" ht="15" hidden="false" customHeight="true" outlineLevel="0" collapsed="false">
      <c r="A15" s="5" t="s">
        <v>49</v>
      </c>
      <c r="B15" s="8"/>
      <c r="C15" s="8"/>
      <c r="D15" s="8"/>
      <c r="E15" s="8"/>
      <c r="F15" s="8"/>
      <c r="G15" s="8"/>
      <c r="H15" s="6" t="n">
        <v>409.12</v>
      </c>
      <c r="I15" s="8"/>
      <c r="J15" s="5" t="s">
        <v>50</v>
      </c>
    </row>
    <row r="16" customFormat="false" ht="15" hidden="false" customHeight="true" outlineLevel="0" collapsed="false">
      <c r="A16" s="5" t="s">
        <v>51</v>
      </c>
      <c r="B16" s="8"/>
      <c r="C16" s="8"/>
      <c r="D16" s="8"/>
      <c r="E16" s="8"/>
      <c r="F16" s="8"/>
      <c r="G16" s="8"/>
      <c r="H16" s="6" t="n">
        <v>407.12</v>
      </c>
      <c r="I16" s="8"/>
      <c r="J16" s="5" t="s">
        <v>52</v>
      </c>
    </row>
    <row r="17" customFormat="false" ht="15" hidden="false" customHeight="true" outlineLevel="0" collapsed="false">
      <c r="A17" s="1" t="s">
        <v>53</v>
      </c>
      <c r="I17" s="9" t="n">
        <v>27.7</v>
      </c>
      <c r="J17" s="1" t="s">
        <v>54</v>
      </c>
    </row>
    <row r="18" customFormat="false" ht="15" hidden="false" customHeight="true" outlineLevel="0" collapsed="false">
      <c r="A18" s="1" t="s">
        <v>55</v>
      </c>
      <c r="G18" s="9" t="n">
        <v>-10.14</v>
      </c>
      <c r="J18" s="1" t="s">
        <v>56</v>
      </c>
    </row>
    <row r="19" customFormat="false" ht="15" hidden="false" customHeight="true" outlineLevel="0" collapsed="false">
      <c r="A19" s="1" t="s">
        <v>57</v>
      </c>
      <c r="G19" s="9" t="n">
        <v>-10.14</v>
      </c>
      <c r="H19" s="9" t="n">
        <f aca="false">AVERAGE(H15:H16)-'IK Lengths'!B11</f>
        <v>404.62</v>
      </c>
      <c r="I19" s="9" t="n">
        <v>27.7</v>
      </c>
      <c r="J19" s="1" t="s">
        <v>58</v>
      </c>
    </row>
    <row r="21" customFormat="false" ht="15" hidden="false" customHeight="true" outlineLevel="0" collapsed="false">
      <c r="A21" s="10" t="s">
        <v>59</v>
      </c>
    </row>
    <row r="22" customFormat="false" ht="15" hidden="false" customHeight="true" outlineLevel="0" collapsed="false">
      <c r="A22" s="1" t="s">
        <v>60</v>
      </c>
      <c r="H22" s="1" t="n">
        <v>25</v>
      </c>
      <c r="J22" s="1" t="s">
        <v>61</v>
      </c>
    </row>
    <row r="23" customFormat="false" ht="15" hidden="false" customHeight="true" outlineLevel="0" collapsed="false">
      <c r="A23" s="1" t="s">
        <v>62</v>
      </c>
      <c r="H23" s="1" t="n">
        <v>15</v>
      </c>
    </row>
    <row r="24" customFormat="false" ht="15" hidden="false" customHeight="true" outlineLevel="0" collapsed="false">
      <c r="A24" s="1" t="s">
        <v>63</v>
      </c>
      <c r="H24" s="1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62"/>
    <col collapsed="false" customWidth="true" hidden="false" outlineLevel="0" max="4" min="4" style="1" width="24"/>
  </cols>
  <sheetData>
    <row r="1" customFormat="false" ht="15" hidden="false" customHeight="true" outlineLevel="0" collapsed="false">
      <c r="A1" s="2" t="s">
        <v>64</v>
      </c>
    </row>
    <row r="3" customFormat="false" ht="15" hidden="false" customHeight="true" outlineLevel="0" collapsed="false">
      <c r="A3" s="4" t="s">
        <v>65</v>
      </c>
      <c r="B3" s="4" t="s">
        <v>66</v>
      </c>
      <c r="C3" s="4" t="s">
        <v>67</v>
      </c>
      <c r="D3" s="4" t="s">
        <v>68</v>
      </c>
    </row>
    <row r="4" customFormat="false" ht="15" hidden="false" customHeight="true" outlineLevel="0" collapsed="false">
      <c r="A4" s="5" t="s">
        <v>69</v>
      </c>
      <c r="B4" s="11" t="n">
        <f aca="false">Axes!H6-Axes!H14</f>
        <v>94.22</v>
      </c>
      <c r="C4" s="5" t="s">
        <v>70</v>
      </c>
      <c r="D4" s="5" t="s">
        <v>71</v>
      </c>
    </row>
    <row r="5" customFormat="false" ht="15" hidden="false" customHeight="true" outlineLevel="0" collapsed="false">
      <c r="A5" s="5" t="s">
        <v>72</v>
      </c>
      <c r="B5" s="11" t="n">
        <f aca="false">ABS(Axes!G6-Axes!G5)</f>
        <v>23.15</v>
      </c>
      <c r="C5" s="5" t="s">
        <v>73</v>
      </c>
      <c r="D5" s="5" t="s">
        <v>74</v>
      </c>
    </row>
    <row r="6" customFormat="false" ht="15" hidden="false" customHeight="true" outlineLevel="0" collapsed="false">
      <c r="A6" s="5" t="s">
        <v>75</v>
      </c>
      <c r="B6" s="11" t="n">
        <f aca="false">ABS(Axes!I8-Axes!I5)</f>
        <v>15.25</v>
      </c>
      <c r="C6" s="5" t="s">
        <v>76</v>
      </c>
      <c r="D6" s="5" t="s">
        <v>77</v>
      </c>
    </row>
    <row r="7" customFormat="false" ht="15" hidden="false" customHeight="true" outlineLevel="0" collapsed="false">
      <c r="A7" s="5" t="s">
        <v>78</v>
      </c>
      <c r="B7" s="11" t="n">
        <f aca="false">Axes!H7-Axes!H6</f>
        <v>113.12</v>
      </c>
      <c r="C7" s="5" t="s">
        <v>79</v>
      </c>
      <c r="D7" s="5" t="s">
        <v>80</v>
      </c>
    </row>
    <row r="8" customFormat="false" ht="15" hidden="false" customHeight="true" outlineLevel="0" collapsed="false">
      <c r="A8" s="5" t="s">
        <v>81</v>
      </c>
      <c r="B8" s="11" t="n">
        <f aca="false">Axes!H9-Axes!H7</f>
        <v>126.4</v>
      </c>
      <c r="C8" s="5" t="s">
        <v>82</v>
      </c>
      <c r="D8" s="5" t="s">
        <v>83</v>
      </c>
    </row>
    <row r="9" customFormat="false" ht="15" hidden="false" customHeight="true" outlineLevel="0" collapsed="false">
      <c r="A9" s="5" t="s">
        <v>84</v>
      </c>
      <c r="B9" s="11" t="n">
        <f aca="false">AVERAGE(Axes!H15:H16)-Axes!H9</f>
        <v>108.88</v>
      </c>
      <c r="C9" s="5" t="s">
        <v>85</v>
      </c>
      <c r="D9" s="5" t="s">
        <v>86</v>
      </c>
    </row>
    <row r="10" customFormat="false" ht="15" hidden="false" customHeight="true" outlineLevel="0" collapsed="false">
      <c r="A10" s="5" t="s">
        <v>87</v>
      </c>
      <c r="B10" s="11" t="n">
        <f aca="false">B9-B11</f>
        <v>105.38</v>
      </c>
      <c r="C10" s="5" t="s">
        <v>88</v>
      </c>
      <c r="D10" s="5" t="s">
        <v>89</v>
      </c>
    </row>
    <row r="11" customFormat="false" ht="15" hidden="false" customHeight="true" outlineLevel="0" collapsed="false">
      <c r="A11" s="12" t="s">
        <v>90</v>
      </c>
      <c r="B11" s="9" t="n">
        <v>3.5</v>
      </c>
      <c r="C11" s="12" t="s">
        <v>91</v>
      </c>
    </row>
    <row r="12" customFormat="false" ht="15" hidden="false" customHeight="true" outlineLevel="0" collapsed="false">
      <c r="B12" s="1" t="s">
        <v>92</v>
      </c>
    </row>
    <row r="13" customFormat="false" ht="15" hidden="false" customHeight="true" outlineLevel="0" collapsed="false">
      <c r="A13" s="7" t="s">
        <v>93</v>
      </c>
    </row>
    <row r="14" customFormat="false" ht="15" hidden="false" customHeight="true" outlineLevel="0" collapsed="false">
      <c r="A14" s="12" t="s">
        <v>94</v>
      </c>
    </row>
    <row r="15" customFormat="false" ht="15" hidden="false" customHeight="true" outlineLevel="0" collapsed="false">
      <c r="A15" s="12" t="s">
        <v>95</v>
      </c>
    </row>
    <row r="16" customFormat="false" ht="15" hidden="false" customHeight="true" outlineLevel="0" collapsed="false">
      <c r="A16" s="1" t="s">
        <v>96</v>
      </c>
      <c r="B16" s="1" t="n">
        <f aca="false">Axes!H19-Axes!H9</f>
        <v>105.38</v>
      </c>
      <c r="C16" s="1" t="s">
        <v>97</v>
      </c>
      <c r="D16" s="1" t="s">
        <v>98</v>
      </c>
    </row>
    <row r="17" customFormat="false" ht="15" hidden="false" customHeight="true" outlineLevel="0" collapsed="false">
      <c r="A17" s="1" t="s">
        <v>99</v>
      </c>
      <c r="B17" s="1" t="n">
        <f aca="false">Axes!G19-Axes!G9</f>
        <v>13</v>
      </c>
      <c r="C17" s="1" t="s">
        <v>100</v>
      </c>
      <c r="D17" s="1" t="s">
        <v>101</v>
      </c>
    </row>
    <row r="18" customFormat="false" ht="15" hidden="false" customHeight="true" outlineLevel="0" collapsed="false">
      <c r="A18" s="1" t="s">
        <v>102</v>
      </c>
      <c r="B18" s="1" t="n">
        <f aca="false">Axes!I19-Axes!I8</f>
        <v>-5.73</v>
      </c>
      <c r="C18" s="1" t="s">
        <v>103</v>
      </c>
      <c r="D18" s="1" t="s">
        <v>104</v>
      </c>
    </row>
    <row r="20" customFormat="false" ht="15" hidden="false" customHeight="true" outlineLevel="0" collapsed="false">
      <c r="A20" s="1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2"/>
    <col collapsed="false" customWidth="true" hidden="false" outlineLevel="0" max="5" min="5" style="1" width="10"/>
  </cols>
  <sheetData>
    <row r="1" customFormat="false" ht="15" hidden="false" customHeight="true" outlineLevel="0" collapsed="false">
      <c r="A1" s="2" t="s">
        <v>106</v>
      </c>
    </row>
    <row r="2" customFormat="false" ht="15" hidden="false" customHeight="true" outlineLevel="0" collapsed="false">
      <c r="A2" s="3" t="s">
        <v>107</v>
      </c>
    </row>
    <row r="3" customFormat="false" ht="15" hidden="false" customHeight="true" outlineLevel="0" collapsed="false">
      <c r="A3" s="12" t="s">
        <v>108</v>
      </c>
      <c r="B3" s="13" t="n">
        <v>2</v>
      </c>
    </row>
    <row r="5" customFormat="false" ht="15" hidden="false" customHeight="true" outlineLevel="0" collapsed="false">
      <c r="A5" s="4" t="s">
        <v>109</v>
      </c>
      <c r="B5" s="4" t="s">
        <v>110</v>
      </c>
      <c r="C5" s="4" t="s">
        <v>111</v>
      </c>
      <c r="D5" s="4" t="s">
        <v>112</v>
      </c>
      <c r="E5" s="4" t="s">
        <v>113</v>
      </c>
    </row>
    <row r="6" customFormat="false" ht="15" hidden="false" customHeight="true" outlineLevel="0" collapsed="false">
      <c r="A6" s="5" t="s">
        <v>114</v>
      </c>
      <c r="B6" s="14" t="n">
        <f aca="false">'IK Lengths'!B4</f>
        <v>94.22</v>
      </c>
      <c r="C6" s="15" t="n">
        <v>94</v>
      </c>
      <c r="D6" s="11" t="n">
        <f aca="false">IF(C6="","",C6-B6)</f>
        <v>-0.219999999999999</v>
      </c>
      <c r="E6" s="5" t="str">
        <f aca="false">IF(C6="","",IF(ABS(D6)&gt;$B$3,"CHECK","OK"))</f>
        <v>OK</v>
      </c>
    </row>
    <row r="7" customFormat="false" ht="15" hidden="false" customHeight="true" outlineLevel="0" collapsed="false">
      <c r="A7" s="5" t="s">
        <v>115</v>
      </c>
      <c r="B7" s="14" t="n">
        <f aca="false">'IK Lengths'!B7</f>
        <v>113.12</v>
      </c>
      <c r="C7" s="15" t="n">
        <v>114</v>
      </c>
      <c r="D7" s="11" t="n">
        <f aca="false">IF(C7="","",C7-B7)</f>
        <v>0.879999999999996</v>
      </c>
      <c r="E7" s="5" t="str">
        <f aca="false">IF(C7="","",IF(ABS(D7)&gt;$B$3,"CHECK","OK"))</f>
        <v>OK</v>
      </c>
    </row>
    <row r="8" customFormat="false" ht="15" hidden="false" customHeight="true" outlineLevel="0" collapsed="false">
      <c r="A8" s="5" t="s">
        <v>116</v>
      </c>
      <c r="B8" s="14" t="n">
        <f aca="false">'IK Lengths'!B8</f>
        <v>126.4</v>
      </c>
      <c r="C8" s="15" t="n">
        <v>127</v>
      </c>
      <c r="D8" s="11" t="n">
        <f aca="false">IF(C8="","",C8-B8)</f>
        <v>0.599999999999994</v>
      </c>
      <c r="E8" s="5" t="str">
        <f aca="false">IF(C8="","",IF(ABS(D8)&gt;$B$3,"CHECK","OK"))</f>
        <v>OK</v>
      </c>
    </row>
    <row r="9" customFormat="false" ht="15" hidden="false" customHeight="true" outlineLevel="0" collapsed="false">
      <c r="A9" s="5" t="s">
        <v>117</v>
      </c>
      <c r="B9" s="14" t="n">
        <f aca="false">'IK Lengths'!B9</f>
        <v>108.88</v>
      </c>
      <c r="C9" s="15" t="n">
        <v>107</v>
      </c>
      <c r="D9" s="11" t="n">
        <f aca="false">IF(C9="","",C9-B9)</f>
        <v>-1.88</v>
      </c>
      <c r="E9" s="5" t="str">
        <f aca="false">IF(C9="","",IF(ABS(D9)&gt;$B$3,"CHECK","OK"))</f>
        <v>OK</v>
      </c>
    </row>
    <row r="10" customFormat="false" ht="15" hidden="false" customHeight="true" outlineLevel="0" collapsed="false">
      <c r="A10" s="5" t="s">
        <v>118</v>
      </c>
      <c r="B10" s="14" t="n">
        <f aca="false">'IK Lengths'!B16</f>
        <v>105.38</v>
      </c>
      <c r="C10" s="1" t="n">
        <f aca="false">'FK Geometry'!C10</f>
        <v>103.5</v>
      </c>
      <c r="D10" s="11" t="n">
        <f aca="false">IF(C10="","",C10-B10)</f>
        <v>-1.88</v>
      </c>
      <c r="E10" s="5" t="str">
        <f aca="false">IF(C10="","",IF(ABS(D10)&gt;$B$3,"CHECK","OK"))</f>
        <v>OK</v>
      </c>
    </row>
    <row r="11" customFormat="false" ht="15" hidden="false" customHeight="true" outlineLevel="0" collapsed="false">
      <c r="A1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5" hidden="false" customHeight="true" outlineLevel="0" collapsed="false">
      <c r="A1" s="7" t="s">
        <v>119</v>
      </c>
    </row>
    <row r="2" customFormat="false" ht="15" hidden="false" customHeight="true" outlineLevel="0" collapsed="false">
      <c r="A2" s="12" t="s">
        <v>120</v>
      </c>
    </row>
    <row r="3" customFormat="false" ht="15" hidden="false" customHeight="true" outlineLevel="0" collapsed="false">
      <c r="A3" s="12" t="s">
        <v>121</v>
      </c>
    </row>
    <row r="4" customFormat="false" ht="15" hidden="false" customHeight="true" outlineLevel="0" collapsed="false">
      <c r="A4" s="12" t="s">
        <v>122</v>
      </c>
    </row>
    <row r="5" customFormat="false" ht="15" hidden="false" customHeight="true" outlineLevel="0" collapsed="false">
      <c r="A5" s="12"/>
    </row>
    <row r="6" customFormat="false" ht="15" hidden="false" customHeight="true" outlineLevel="0" collapsed="false">
      <c r="A6" s="7" t="s">
        <v>123</v>
      </c>
    </row>
    <row r="7" customFormat="false" ht="15" hidden="false" customHeight="true" outlineLevel="0" collapsed="false">
      <c r="A7" s="12" t="s">
        <v>124</v>
      </c>
    </row>
    <row r="8" customFormat="false" ht="15" hidden="false" customHeight="true" outlineLevel="0" collapsed="false">
      <c r="A8" s="12" t="s">
        <v>125</v>
      </c>
    </row>
    <row r="9" customFormat="false" ht="15" hidden="false" customHeight="true" outlineLevel="0" collapsed="false">
      <c r="A9" s="12" t="s">
        <v>126</v>
      </c>
    </row>
    <row r="10" customFormat="false" ht="15" hidden="false" customHeight="true" outlineLevel="0" collapsed="false">
      <c r="A10" s="1" t="s">
        <v>127</v>
      </c>
    </row>
    <row r="11" customFormat="false" ht="15" hidden="false" customHeight="true" outlineLevel="0" collapsed="false">
      <c r="A11" s="1" t="s">
        <v>128</v>
      </c>
    </row>
    <row r="12" customFormat="false" ht="15" hidden="false" customHeight="true" outlineLevel="0" collapsed="false">
      <c r="A12" s="1" t="s">
        <v>129</v>
      </c>
    </row>
    <row r="13" customFormat="false" ht="15" hidden="false" customHeight="true" outlineLevel="0" collapsed="false">
      <c r="A13" s="1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14"/>
    <col collapsed="false" customWidth="true" hidden="false" outlineLevel="0" max="6" min="6" style="1" width="40"/>
  </cols>
  <sheetData>
    <row r="1" customFormat="false" ht="15" hidden="false" customHeight="true" outlineLevel="0" collapsed="false">
      <c r="A1" s="16" t="s">
        <v>131</v>
      </c>
    </row>
    <row r="3" customFormat="false" ht="15" hidden="false" customHeight="true" outlineLevel="0" collapsed="false">
      <c r="A3" s="17" t="s">
        <v>132</v>
      </c>
      <c r="B3" s="17" t="s">
        <v>110</v>
      </c>
      <c r="C3" s="17" t="s">
        <v>133</v>
      </c>
      <c r="D3" s="17" t="s">
        <v>134</v>
      </c>
      <c r="E3" s="17" t="s">
        <v>135</v>
      </c>
      <c r="F3" s="17" t="s">
        <v>11</v>
      </c>
    </row>
    <row r="4" customFormat="false" ht="15" hidden="false" customHeight="true" outlineLevel="0" collapsed="false">
      <c r="A4" s="1" t="s">
        <v>136</v>
      </c>
      <c r="B4" s="18" t="n">
        <f aca="false">'IK Lengths'!B4</f>
        <v>94.22</v>
      </c>
      <c r="C4" s="19" t="n">
        <v>94</v>
      </c>
      <c r="D4" s="18" t="n">
        <f aca="false">IF(AND(E4="measured",C4&lt;&gt;""),C4,B4)</f>
        <v>94</v>
      </c>
      <c r="E4" s="1" t="s">
        <v>137</v>
      </c>
      <c r="F4" s="1" t="s">
        <v>138</v>
      </c>
    </row>
    <row r="5" customFormat="false" ht="15" hidden="false" customHeight="true" outlineLevel="0" collapsed="false">
      <c r="A5" s="1" t="s">
        <v>72</v>
      </c>
      <c r="B5" s="18" t="n">
        <f aca="false">'IK Lengths'!B5</f>
        <v>23.15</v>
      </c>
      <c r="D5" s="18" t="n">
        <f aca="false">IF(AND(E5="measured",C5&lt;&gt;""),C5,B5)</f>
        <v>23.15</v>
      </c>
      <c r="E5" s="1" t="s">
        <v>139</v>
      </c>
      <c r="F5" s="1" t="s">
        <v>140</v>
      </c>
    </row>
    <row r="6" customFormat="false" ht="15" hidden="false" customHeight="true" outlineLevel="0" collapsed="false">
      <c r="A6" s="1" t="s">
        <v>75</v>
      </c>
      <c r="B6" s="18" t="n">
        <f aca="false">'IK Lengths'!B6</f>
        <v>15.25</v>
      </c>
      <c r="D6" s="18" t="n">
        <f aca="false">IF(AND(E6="measured",C6&lt;&gt;""),C6,B6)</f>
        <v>15.25</v>
      </c>
      <c r="E6" s="1" t="s">
        <v>139</v>
      </c>
    </row>
    <row r="7" customFormat="false" ht="15" hidden="false" customHeight="true" outlineLevel="0" collapsed="false">
      <c r="A7" s="1" t="s">
        <v>141</v>
      </c>
      <c r="B7" s="18" t="n">
        <f aca="false">'IK Lengths'!B7</f>
        <v>113.12</v>
      </c>
      <c r="C7" s="19" t="n">
        <v>114</v>
      </c>
      <c r="D7" s="18" t="n">
        <f aca="false">IF(AND(E7="measured",C7&lt;&gt;""),C7,B7)</f>
        <v>114</v>
      </c>
      <c r="E7" s="1" t="s">
        <v>137</v>
      </c>
    </row>
    <row r="8" customFormat="false" ht="15" hidden="false" customHeight="true" outlineLevel="0" collapsed="false">
      <c r="A8" s="1" t="s">
        <v>142</v>
      </c>
      <c r="B8" s="18" t="n">
        <f aca="false">'IK Lengths'!B8</f>
        <v>126.4</v>
      </c>
      <c r="C8" s="19" t="n">
        <v>127</v>
      </c>
      <c r="D8" s="18" t="n">
        <f aca="false">IF(AND(E8="measured",C8&lt;&gt;""),C8,B8)</f>
        <v>127</v>
      </c>
      <c r="E8" s="1" t="s">
        <v>137</v>
      </c>
      <c r="F8" s="1" t="s">
        <v>143</v>
      </c>
    </row>
    <row r="9" customFormat="false" ht="15" hidden="false" customHeight="true" outlineLevel="0" collapsed="false">
      <c r="A9" s="1" t="s">
        <v>84</v>
      </c>
      <c r="B9" s="18" t="n">
        <f aca="false">'IK Lengths'!B9</f>
        <v>108.88</v>
      </c>
      <c r="C9" s="19" t="n">
        <v>107</v>
      </c>
      <c r="D9" s="18" t="n">
        <f aca="false">IF(AND(E9="measured",C9&lt;&gt;""),C9,B9)</f>
        <v>107</v>
      </c>
      <c r="E9" s="1" t="s">
        <v>137</v>
      </c>
    </row>
    <row r="10" customFormat="false" ht="15" hidden="false" customHeight="true" outlineLevel="0" collapsed="false">
      <c r="A10" s="1" t="s">
        <v>144</v>
      </c>
      <c r="B10" s="18" t="n">
        <f aca="false">'IK Lengths'!B16</f>
        <v>105.38</v>
      </c>
      <c r="C10" s="1" t="n">
        <f aca="false">IF(C9="","",C9-'IK Lengths'!B11)</f>
        <v>103.5</v>
      </c>
      <c r="D10" s="18" t="n">
        <f aca="false">IF(AND(E10="measured",C10&lt;&gt;""),C10,B10)</f>
        <v>103.5</v>
      </c>
      <c r="E10" s="1" t="s">
        <v>137</v>
      </c>
      <c r="F10" s="1" t="s">
        <v>145</v>
      </c>
    </row>
    <row r="11" customFormat="false" ht="15" hidden="false" customHeight="true" outlineLevel="0" collapsed="false">
      <c r="A11" s="1" t="s">
        <v>146</v>
      </c>
      <c r="B11" s="18" t="n">
        <f aca="false">'IK Lengths'!B17</f>
        <v>13</v>
      </c>
      <c r="D11" s="18" t="n">
        <f aca="false">IF(AND(E11="measured",C11&lt;&gt;""),C11,B11)</f>
        <v>13</v>
      </c>
      <c r="E11" s="1" t="s">
        <v>139</v>
      </c>
    </row>
    <row r="12" customFormat="false" ht="15" hidden="false" customHeight="true" outlineLevel="0" collapsed="false">
      <c r="A12" s="1" t="s">
        <v>147</v>
      </c>
      <c r="B12" s="18" t="n">
        <f aca="false">'IK Lengths'!B18</f>
        <v>-5.73</v>
      </c>
      <c r="D12" s="18" t="n">
        <f aca="false">IF(AND(E12="measured",C12&lt;&gt;""),C12,B12)</f>
        <v>-5.73</v>
      </c>
      <c r="E12" s="1" t="s">
        <v>139</v>
      </c>
      <c r="F12" s="1" t="s">
        <v>148</v>
      </c>
    </row>
    <row r="14" customFormat="false" ht="15" hidden="false" customHeight="false" outlineLevel="0" collapsed="false">
      <c r="A14" s="1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2026-10-25T19:41:34Z</dcterms:created>
  <dc:creator>openpyxl</dc:creator>
  <dc:description/>
  <dc:language>en-US</dc:language>
  <cp:lastModifiedBy/>
  <dcterms:modified xsi:type="dcterms:W3CDTF">2026-10-26T14:56:24Z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