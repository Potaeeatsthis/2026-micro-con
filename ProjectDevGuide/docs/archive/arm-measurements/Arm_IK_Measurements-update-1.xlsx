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xes" sheetId="1" state="visible" r:id="rId3"/>
    <sheet name="IK Lengths" sheetId="2" state="visible" r:id="rId4"/>
    <sheet name="Real Arm Check" sheetId="3" state="visible" r:id="rId5"/>
    <sheet name="Method &amp; Notes" sheetId="4" state="visible" r:id="rId6"/>
    <sheet name="F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<sst xmlns="http://schemas.openxmlformats.org/spreadsheetml/2006/main" count="256" uniqueCount="208">
  <si>
    <t xml:space="preserve">Servo rotation axes - ARM_ASSEMBLY, all joints at 0 deg (arm straight up)</t>
  </si>
  <si>
    <t xml:space="preserve">Fusion frame: Y = up, units mm. Blue = CAD value, green = measured on the real arm, black = formula. Point = centre of the horn hub on the axis.</t>
  </si>
  <si>
    <t xml:space="preserve">Joint</t>
  </si>
  <si>
    <t xml:space="preserve">Name</t>
  </si>
  <si>
    <t xml:space="preserve"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</si>
  <si>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</si>
  <si>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</si>
  <si>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</si>
  <si>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</si>
  <si>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</si>
  <si>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</si>
  <si>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 xml:space="preserve">Note</t>
  </si>
  <si>
    <t xml:space="preserve">J1</t>
  </si>
  <si>
    <t xml:space="preserve">Base</t>
  </si>
  <si>
    <t xml:space="preserve">MG996R</t>
  </si>
  <si>
    <t xml:space="preserve">base_link</t>
  </si>
  <si>
    <t xml:space="preserve">Vertical</t>
  </si>
  <si>
    <t xml:space="preserve">Y</t>
  </si>
  <si>
    <t xml:space="preserve">Line x=0, z=18.18</t>
  </si>
  <si>
    <t xml:space="preserve">J2</t>
  </si>
  <si>
    <t xml:space="preserve">Shoulder</t>
  </si>
  <si>
    <t xml:space="preserve">base_link_upper</t>
  </si>
  <si>
    <t xml:space="preserve">Horizontal</t>
  </si>
  <si>
    <t xml:space="preserve">Z</t>
  </si>
  <si>
    <t xml:space="preserve">Z irrelevant (axis runs along Z)</t>
  </si>
  <si>
    <t xml:space="preserve">J3</t>
  </si>
  <si>
    <t xml:space="preserve">Elbow</t>
  </si>
  <si>
    <t xml:space="preserve">arm_link_1</t>
  </si>
  <si>
    <t xml:space="preserve">Z irrelevant</t>
  </si>
  <si>
    <t xml:space="preserve">J4</t>
  </si>
  <si>
    <t xml:space="preserve">Wrist roll</t>
  </si>
  <si>
    <t xml:space="preserve">SG92R</t>
  </si>
  <si>
    <t xml:space="preserve">arm_link_2</t>
  </si>
  <si>
    <t xml:space="preserve">Along the arm</t>
  </si>
  <si>
    <t xml:space="preserve">Y irrelevant (axis runs along Y). CAD joint name: Wrist Roll</t>
  </si>
  <si>
    <t xml:space="preserve">J5</t>
  </si>
  <si>
    <t xml:space="preserve">Wrist pitch</t>
  </si>
  <si>
    <t xml:space="preserve">arm_link_3</t>
  </si>
  <si>
    <t xml:space="preserve">Z irrelevant. CAD joint name: Wrist Pitch</t>
  </si>
  <si>
    <t xml:space="preserve">J6</t>
  </si>
  <si>
    <t xml:space="preserve">Gripper</t>
  </si>
  <si>
    <t xml:space="preserve">gripper_base</t>
  </si>
  <si>
    <t xml:space="preserve">Opens/closes jaws</t>
  </si>
  <si>
    <t xml:space="preserve">X</t>
  </si>
  <si>
    <t xml:space="preserve">Not part of IK chain</t>
  </si>
  <si>
    <t xml:space="preserve">Reference points</t>
  </si>
  <si>
    <t xml:space="preserve">Item</t>
  </si>
  <si>
    <t xml:space="preserve">Table surface</t>
  </si>
  <si>
    <t xml:space="preserve">Floor/table = base_plate bottom (4 mm plate under base_link, ARM_ASSEMBLY v24)</t>
  </si>
  <si>
    <t xml:space="preserve">Left jaw tip</t>
  </si>
  <si>
    <t xml:space="preserve">Lopsided CAD pose (left jaw 27.5 deg, right 35 deg). Reference only - use row 36</t>
  </si>
  <si>
    <t xml:space="preserve">Right jaw tip</t>
  </si>
  <si>
    <t xml:space="preserve">Same - reference only</t>
  </si>
  <si>
    <t xml:space="preserve">Gripper geometry (CAD, from gear and jaw pivot holes)</t>
  </si>
  <si>
    <t xml:space="preserve">Gear pivot left (servo gear)</t>
  </si>
  <si>
    <t xml:space="preserve">Gripper Gear Left joint, axis X</t>
  </si>
  <si>
    <t xml:space="preserve">Gear pivot right (idler gear)</t>
  </si>
  <si>
    <t xml:space="preserve">Gripper Gear Right joint, axis X</t>
  </si>
  <si>
    <t xml:space="preserve">Gear arm: gear pivot -&gt; jaw pivot</t>
  </si>
  <si>
    <t xml:space="preserve">Both gears 31.10 (radius, mm)</t>
  </si>
  <si>
    <t xml:space="preserve">Jaw tip above jaw pivot</t>
  </si>
  <si>
    <t xml:space="preserve">Jaw parts are identical; jaws stay parallel (4-bar)</t>
  </si>
  <si>
    <t xml:space="preserve">Pinch point above jaw pivot</t>
  </si>
  <si>
    <t xml:space="preserve">Closest point between jaws, about 5 mm below tip</t>
  </si>
  <si>
    <t xml:space="preserve">Pinch inset, both jaws total</t>
  </si>
  <si>
    <t xml:space="preserve">Pinch points sit 17.10 + 16.16 inboard of jaw pivots</t>
  </si>
  <si>
    <t xml:space="preserve">Jaw thickness span (X)</t>
  </si>
  <si>
    <t xml:space="preserve">to -3.64; centre = -10.14</t>
  </si>
  <si>
    <t xml:space="preserve">Jaw mirror-plane correction</t>
  </si>
  <si>
    <t xml:space="preserve">Jaw part offset vs gear midplane (centroid check)</t>
  </si>
  <si>
    <t xml:space="preserve">Object held in the gripper (straight-up pose)</t>
  </si>
  <si>
    <t xml:space="preserve">Object size (real)</t>
  </si>
  <si>
    <t xml:space="preserve">25 x 25 x 15 block. H = height along the tool (15). Jaws squeeze a 25 side</t>
  </si>
  <si>
    <t xml:space="preserve">Width squeezed by jaws</t>
  </si>
  <si>
    <t xml:space="preserve">mm between the jaws</t>
  </si>
  <si>
    <t xml:space="preserve">Jaw tip -&gt; object near face</t>
  </si>
  <si>
    <t xml:space="preserve">Measured: object sits 3.5 mm behind the jaw tips, toward J5</t>
  </si>
  <si>
    <t xml:space="preserve">Jaw opening angle (deg)</t>
  </si>
  <si>
    <t xml:space="preserve">Gear angle from straight up when holding this width (both jaws even)</t>
  </si>
  <si>
    <t xml:space="preserve">Jaw tip Y at this width</t>
  </si>
  <si>
    <t xml:space="preserve">Tip height when jaws close on the object</t>
  </si>
  <si>
    <t xml:space="preserve">OBJECT CENTRE (tool point)</t>
  </si>
  <si>
    <t xml:space="preserve">Use this point for FK/IK. Not the J5 point.</t>
  </si>
  <si>
    <t xml:space="preserve">Link lengths for inverse kinematics (formulas from the Axes sheet)</t>
  </si>
  <si>
    <t xml:space="preserve">From -&gt; to</t>
  </si>
  <si>
    <t xml:space="preserve">Value (mm)</t>
  </si>
  <si>
    <t xml:space="preserve">Meaning</t>
  </si>
  <si>
    <t xml:space="preserve">Formula basis</t>
  </si>
  <si>
    <t xml:space="preserve">Floor -&gt; J2 (shoulder height)</t>
  </si>
  <si>
    <t xml:space="preserve">Shoulder axis above floor, incl. base_plate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</si>
  <si>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</si>
  <si>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</si>
  <si>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</si>
  <si>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</si>
  <si>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</si>
  <si>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</si>
  <si>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</si>
  <si>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</si>
  <si>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</si>
  <si>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</si>
  <si>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</si>
  <si>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</si>
  <si>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</si>
  <si>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 (holding object)</t>
  </si>
  <si>
    <t xml:space="preserve">Tip at 25 mm jaw opening</t>
  </si>
  <si>
    <t xml:space="preserve">tip.Y - J5.Y</t>
  </si>
  <si>
    <t xml:space="preserve">J5 -&gt; object centre, along arm (tool length)</t>
  </si>
  <si>
    <t xml:space="preserve">Tool length in IK</t>
  </si>
  <si>
    <t xml:space="preserve">obj.Y - J5.Y</t>
  </si>
  <si>
    <t xml:space="preserve">Edit on Axes!H33</t>
  </si>
  <si>
    <t xml:space="preserve">measured</t>
  </si>
  <si>
    <t xml:space="preserve">Object centre offsets (3D, straight-up pose)</t>
  </si>
  <si>
    <t xml:space="preserve">J5 -&gt; object, across arm (X)</t>
  </si>
  <si>
    <t xml:space="preserve">Object sits forward of the arm line</t>
  </si>
  <si>
    <t xml:space="preserve">obj.X - J5.X</t>
  </si>
  <si>
    <t xml:space="preserve">J4 roll axis -&gt; object (X)</t>
  </si>
  <si>
    <t xml:space="preserve">Roll swings the object around</t>
  </si>
  <si>
    <t xml:space="preserve">obj.X - J4.X</t>
  </si>
  <si>
    <t xml:space="preserve">J4 roll axis -&gt; object (Z)</t>
  </si>
  <si>
    <t xml:space="preserve">obj.Z - J4.Z</t>
  </si>
  <si>
    <t xml:space="preserve">Roll swing radius</t>
  </si>
  <si>
    <t xml:space="preserve">Object circle radius when J4 turns</t>
  </si>
  <si>
    <t xml:space="preserve">sqrt(dX^2+dZ^2)</t>
  </si>
  <si>
    <t xml:space="preserve">J1 base axis -&gt; object (Z)</t>
  </si>
  <si>
    <t xml:space="preserve">Sideways offset of the object</t>
  </si>
  <si>
    <t xml:space="preserve">obj.Z - J1.Z</t>
  </si>
  <si>
    <t xml:space="preserve">Base angle with sideways offset</t>
  </si>
  <si>
    <t xml:space="preserve">theta1 = atan2(y, x) - asin(d / r), d = sideways offset (B6 for wrist centre), r = horizontal distance from base axis to target</t>
  </si>
  <si>
    <t xml:space="preserve">Axes J2, J3, J5 are parallel (Z). J4 roll axis (Y) lies on the forearm line. Roll (J4) comes before pitch (J5).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</si>
  <si>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</si>
  <si>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</si>
  <si>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</si>
  <si>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 xml:space="preserve">Measurement</t>
  </si>
  <si>
    <t xml:space="preserve">CAD (mm)</t>
  </si>
  <si>
    <t xml:space="preserve">Real (mm)</t>
  </si>
  <si>
    <t xml:space="preserve">Diff (mm)</t>
  </si>
  <si>
    <t xml:space="preserve">Flag</t>
  </si>
  <si>
    <t xml:space="preserve">Floor -&gt; J2 Shoulder (floor + stand + J2)</t>
  </si>
  <si>
    <t xml:space="preserve">J2 Shoulder → J3 Elbow screw center</t>
  </si>
  <si>
    <t xml:space="preserve">J3 Elbow → J5 Wrist pitch screw center</t>
  </si>
  <si>
    <t xml:space="preserve">J5 Wrist pitch -&gt; jaw tip (holding 25 mm)</t>
  </si>
  <si>
    <t xml:space="preserve">Jaw tip height depends on jaw opening: wider open = lower tip. Measure J5 -&gt; tip with the 25 mm object held.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</si>
  <si>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</si>
  <si>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</si>
  <si>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</si>
  <si>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up, floor at Y = -34.5 with base_plate).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</si>
  <si>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</si>
  <si>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</si>
  <si>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</si>
  <si>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</si>
  <si>
    <t xml:space="preserve">Object centre (Oct 26)</t>
  </si>
  <si>
    <t xml:space="preserve">- X: middle of the jaw thickness (both jaws span X -16.64..-3.64).</t>
  </si>
  <si>
    <t xml:space="preserve">- Z: mirror plane of the jaws = midpoint of the two gear pivots (43.65, 15.89) with -0.27 jaw correction.</t>
  </si>
  <si>
    <t xml:space="preserve">- Y: jaw tip height at 25 mm opening (from gear arm 31.10 and jaw tip 57.27) minus 3.5 mm (measured) minus half of 15 mm.</t>
  </si>
  <si>
    <t xml:space="preserve">- The CAD gripper pose is lopsided (gear joints both 20 deg, jaws end up at 27.5 and 35 deg). Jaw-tip Y 409.12/407.12 and old Y 404.62 come from that pose, so they are not used.</t>
  </si>
  <si>
    <t xml:space="preserve">- The object is 13.0 mm off the J4 roll axis in X and -3.9 mm in Z. FK must carry this 3D offset; a single tool length is not enough.</t>
  </si>
  <si>
    <t xml:space="preserve">Forward kinematics data: J1 -&gt; J2 -&gt; J3 -&gt; J4 roll -&gt; J5 pitch -&gt; object centre</t>
  </si>
  <si>
    <t xml:space="preserve">Frame = Fusion CAD frame (Y up, mm). Zero pose = straight up. Positive angle = right-hand rule about the axis direction listed.</t>
  </si>
  <si>
    <t xml:space="preserve">Point X</t>
  </si>
  <si>
    <t xml:space="preserve">Point Y</t>
  </si>
  <si>
    <t xml:space="preserve">Point Z</t>
  </si>
  <si>
    <t xml:space="preserve">Source</t>
  </si>
  <si>
    <t xml:space="preserve">J1 base</t>
  </si>
  <si>
    <t xml:space="preserve">+Y</t>
  </si>
  <si>
    <t xml:space="preserve">CAD</t>
  </si>
  <si>
    <t xml:space="preserve">Y of point unused</t>
  </si>
  <si>
    <t xml:space="preserve">J2 shoulder</t>
  </si>
  <si>
    <t xml:space="preserve">+Z</t>
  </si>
  <si>
    <t xml:space="preserve">Z unused</t>
  </si>
  <si>
    <t xml:space="preserve">J3 elbow</t>
  </si>
  <si>
    <t xml:space="preserve">J4 wrist roll</t>
  </si>
  <si>
    <t xml:space="preserve">Rotates with J1..J3</t>
  </si>
  <si>
    <t xml:space="preserve">J5 wrist pitch</t>
  </si>
  <si>
    <t xml:space="preserve">Axis turns with J4 (roll first)</t>
  </si>
  <si>
    <t xml:space="preserve">Tool point (object centre)</t>
  </si>
  <si>
    <t xml:space="preserve">CAD + measured</t>
  </si>
  <si>
    <t xml:space="preserve">X,Z CAD; Y uses measured 3.5 mm depth</t>
  </si>
  <si>
    <t xml:space="preserve">Length</t>
  </si>
  <si>
    <t xml:space="preserve">Measured (mm)</t>
  </si>
  <si>
    <t xml:space="preserve">Use in FK</t>
  </si>
  <si>
    <t xml:space="preserve">Floor -&gt; J2 height</t>
  </si>
  <si>
    <t xml:space="preserve">Measured</t>
  </si>
  <si>
    <t xml:space="preserve">Measured matches CAD (0.2 mm)</t>
  </si>
  <si>
    <t xml:space="preserve">J1 -&gt; J2 forward</t>
  </si>
  <si>
    <t xml:space="preserve">Not measurable on the real arm easily</t>
  </si>
  <si>
    <t xml:space="preserve">J2 -&gt; J3</t>
  </si>
  <si>
    <t xml:space="preserve">J3 -&gt; J5</t>
  </si>
  <si>
    <t xml:space="preserve">J5 -&gt; object (along)</t>
  </si>
  <si>
    <t xml:space="preserve">Uses the 3.5 mm depth</t>
  </si>
  <si>
    <t xml:space="preserve">J5 -&gt; object (across, X)</t>
  </si>
  <si>
    <t xml:space="preserve">J1 -&gt; object (sideways, Z)</t>
  </si>
  <si>
    <t xml:space="preserve">Test vectors - expected object centre for your FK code (computed outside Excel with the CAD values above)</t>
  </si>
  <si>
    <t xml:space="preserve">th1</t>
  </si>
  <si>
    <t xml:space="preserve">th2</t>
  </si>
  <si>
    <t xml:space="preserve">th3</t>
  </si>
  <si>
    <t xml:space="preserve">th4</t>
  </si>
  <si>
    <t xml:space="preserve">th5</t>
  </si>
  <si>
    <t xml:space="preserve">What it checks</t>
  </si>
  <si>
    <t xml:space="preserve">Zero pose = object centre</t>
  </si>
  <si>
    <t xml:space="preserve">Base turn: Y unchanged, swings around x=0,z=18.18</t>
  </si>
  <si>
    <t xml:space="preserve">Shoulder +30: leans toward -X</t>
  </si>
  <si>
    <t xml:space="preserve">Elbow +30</t>
  </si>
  <si>
    <t xml:space="preserve">Roll only: Y unchanged, circle r=13.6 around roll axis</t>
  </si>
  <si>
    <t xml:space="preserve">Pitch only</t>
  </si>
  <si>
    <t xml:space="preserve">Roll then pitch: pitch now swings in Z</t>
  </si>
  <si>
    <t xml:space="preserve">Mixed 1</t>
  </si>
  <si>
    <t xml:space="preserve">Mixed 2</t>
  </si>
  <si>
    <t xml:space="preserve">Object point used: X -10.14, Y 397.69, Z 29.50. If Axes!H33 changes, rerun fk_reference.py.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</si>
</sst>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9" activeCellId="0" sqref="G19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0</v>
      </c>
      <c r="H5" s="6" t="n">
        <v>11.27</v>
      </c>
      <c r="I5" s="6" t="n">
        <v>18.18</v>
      </c>
      <c r="J5" s="5" t="s">
        <v>18</v>
      </c>
    </row>
    <row r="6" customFormat="false" ht="15" hidden="false" customHeight="true" outlineLevel="0" collapsed="false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 t="n">
        <v>-23.15</v>
      </c>
      <c r="H6" s="6" t="n">
        <v>59.72</v>
      </c>
      <c r="I6" s="6" t="n">
        <v>21.08</v>
      </c>
      <c r="J6" s="5" t="s">
        <v>24</v>
      </c>
    </row>
    <row r="7" customFormat="false" ht="15" hidden="false" customHeight="tru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 t="n">
        <v>-23.14</v>
      </c>
      <c r="H7" s="6" t="n">
        <v>172.84</v>
      </c>
      <c r="I7" s="6" t="n">
        <v>14.18</v>
      </c>
      <c r="J7" s="5" t="s">
        <v>28</v>
      </c>
    </row>
    <row r="8" customFormat="false" ht="15" hidden="false" customHeight="tru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 t="n">
        <v>-23.14</v>
      </c>
      <c r="H8" s="6" t="n">
        <v>269.09</v>
      </c>
      <c r="I8" s="6" t="n">
        <v>33.43</v>
      </c>
      <c r="J8" s="5" t="s">
        <v>34</v>
      </c>
    </row>
    <row r="9" customFormat="false" ht="15" hidden="false" customHeight="true" outlineLevel="0" collapsed="false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 t="n">
        <v>-23.14</v>
      </c>
      <c r="H9" s="6" t="n">
        <v>299.24</v>
      </c>
      <c r="I9" s="6" t="n">
        <v>19.08</v>
      </c>
      <c r="J9" s="5" t="s">
        <v>38</v>
      </c>
    </row>
    <row r="10" customFormat="false" ht="15" hidden="false" customHeight="true" outlineLevel="0" collapsed="false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 t="n">
        <v>-13.05</v>
      </c>
      <c r="H10" s="6" t="n">
        <v>324.32</v>
      </c>
      <c r="I10" s="6" t="n">
        <v>43.65</v>
      </c>
      <c r="J10" s="5" t="s">
        <v>44</v>
      </c>
    </row>
    <row r="12" customFormat="false" ht="15" hidden="false" customHeight="true" outlineLevel="0" collapsed="false">
      <c r="A12" s="7" t="s">
        <v>45</v>
      </c>
    </row>
    <row r="13" customFormat="false" ht="15" hidden="false" customHeight="true" outlineLevel="0" collapsed="false">
      <c r="A13" s="4" t="s">
        <v>46</v>
      </c>
      <c r="B13" s="4"/>
      <c r="C13" s="4"/>
      <c r="D13" s="4"/>
      <c r="E13" s="4"/>
      <c r="F13" s="4"/>
      <c r="G13" s="4"/>
      <c r="H13" s="4" t="s">
        <v>9</v>
      </c>
      <c r="I13" s="4"/>
      <c r="J13" s="4" t="s">
        <v>11</v>
      </c>
    </row>
    <row r="14" customFormat="false" ht="15" hidden="false" customHeight="true" outlineLevel="0" collapsed="false">
      <c r="A14" s="5" t="s">
        <v>47</v>
      </c>
      <c r="B14" s="8"/>
      <c r="C14" s="8"/>
      <c r="D14" s="8"/>
      <c r="E14" s="8"/>
      <c r="F14" s="8"/>
      <c r="G14" s="8"/>
      <c r="H14" s="9" t="n">
        <v>-34.5</v>
      </c>
      <c r="I14" s="8"/>
      <c r="J14" s="5" t="s">
        <v>48</v>
      </c>
    </row>
    <row r="15" customFormat="false" ht="15" hidden="false" customHeight="true" outlineLevel="0" collapsed="false">
      <c r="A15" s="5" t="s">
        <v>49</v>
      </c>
      <c r="B15" s="8"/>
      <c r="C15" s="8"/>
      <c r="D15" s="8"/>
      <c r="E15" s="8"/>
      <c r="F15" s="8"/>
      <c r="G15" s="8"/>
      <c r="H15" s="6" t="n">
        <v>409.12</v>
      </c>
      <c r="I15" s="8"/>
      <c r="J15" s="5" t="s">
        <v>50</v>
      </c>
    </row>
    <row r="16" customFormat="false" ht="15" hidden="false" customHeight="true" outlineLevel="0" collapsed="false">
      <c r="A16" s="5" t="s">
        <v>51</v>
      </c>
      <c r="B16" s="8"/>
      <c r="C16" s="8"/>
      <c r="D16" s="8"/>
      <c r="E16" s="8"/>
      <c r="F16" s="8"/>
      <c r="G16" s="8"/>
      <c r="H16" s="6" t="n">
        <v>407.12</v>
      </c>
      <c r="I16" s="8"/>
      <c r="J16" s="5" t="s">
        <v>52</v>
      </c>
    </row>
    <row r="18" customFormat="false" ht="15" hidden="false" customHeight="false" outlineLevel="0" collapsed="false">
      <c r="A18" s="10" t="s">
        <v>53</v>
      </c>
    </row>
    <row r="19" customFormat="false" ht="15" hidden="false" customHeight="false" outlineLevel="0" collapsed="false">
      <c r="A19" s="11" t="s">
        <v>46</v>
      </c>
      <c r="B19" s="11"/>
      <c r="C19" s="11"/>
      <c r="D19" s="11"/>
      <c r="E19" s="11"/>
      <c r="F19" s="11"/>
      <c r="G19" s="11" t="s">
        <v>8</v>
      </c>
      <c r="H19" s="11" t="s">
        <v>9</v>
      </c>
      <c r="I19" s="11" t="s">
        <v>10</v>
      </c>
      <c r="J19" s="11" t="s">
        <v>11</v>
      </c>
    </row>
    <row r="20" customFormat="false" ht="15" hidden="false" customHeight="false" outlineLevel="0" collapsed="false">
      <c r="A20" s="1" t="s">
        <v>54</v>
      </c>
      <c r="G20" s="12" t="n">
        <v>-7.14</v>
      </c>
      <c r="H20" s="12" t="n">
        <v>324.32</v>
      </c>
      <c r="I20" s="12" t="n">
        <v>43.65</v>
      </c>
      <c r="J20" s="1" t="s">
        <v>55</v>
      </c>
    </row>
    <row r="21" customFormat="false" ht="15" hidden="false" customHeight="false" outlineLevel="0" collapsed="false">
      <c r="A21" s="1" t="s">
        <v>56</v>
      </c>
      <c r="G21" s="12" t="n">
        <v>-13.64</v>
      </c>
      <c r="H21" s="12" t="n">
        <v>324.32</v>
      </c>
      <c r="I21" s="12" t="n">
        <v>15.89</v>
      </c>
      <c r="J21" s="1" t="s">
        <v>57</v>
      </c>
    </row>
    <row r="22" customFormat="false" ht="15" hidden="false" customHeight="false" outlineLevel="0" collapsed="false">
      <c r="A22" s="1" t="s">
        <v>58</v>
      </c>
      <c r="G22" s="13"/>
      <c r="H22" s="12" t="n">
        <v>31.1</v>
      </c>
      <c r="I22" s="13"/>
      <c r="J22" s="1" t="s">
        <v>59</v>
      </c>
    </row>
    <row r="23" customFormat="false" ht="15" hidden="false" customHeight="false" outlineLevel="0" collapsed="false">
      <c r="A23" s="1" t="s">
        <v>60</v>
      </c>
      <c r="G23" s="13"/>
      <c r="H23" s="12" t="n">
        <v>57.27</v>
      </c>
      <c r="I23" s="13"/>
      <c r="J23" s="1" t="s">
        <v>61</v>
      </c>
    </row>
    <row r="24" customFormat="false" ht="15" hidden="false" customHeight="false" outlineLevel="0" collapsed="false">
      <c r="A24" s="1" t="s">
        <v>62</v>
      </c>
      <c r="G24" s="13"/>
      <c r="H24" s="12" t="n">
        <v>52.24</v>
      </c>
      <c r="I24" s="13"/>
      <c r="J24" s="1" t="s">
        <v>63</v>
      </c>
    </row>
    <row r="25" customFormat="false" ht="15" hidden="false" customHeight="false" outlineLevel="0" collapsed="false">
      <c r="A25" s="1" t="s">
        <v>64</v>
      </c>
      <c r="G25" s="13"/>
      <c r="H25" s="13"/>
      <c r="I25" s="12" t="n">
        <v>33.26</v>
      </c>
      <c r="J25" s="1" t="s">
        <v>65</v>
      </c>
    </row>
    <row r="26" customFormat="false" ht="15" hidden="false" customHeight="false" outlineLevel="0" collapsed="false">
      <c r="A26" s="1" t="s">
        <v>66</v>
      </c>
      <c r="G26" s="12" t="n">
        <v>-16.64</v>
      </c>
      <c r="H26" s="13"/>
      <c r="I26" s="13"/>
      <c r="J26" s="1" t="s">
        <v>67</v>
      </c>
    </row>
    <row r="27" customFormat="false" ht="15" hidden="false" customHeight="false" outlineLevel="0" collapsed="false">
      <c r="A27" s="1" t="s">
        <v>68</v>
      </c>
      <c r="G27" s="13"/>
      <c r="H27" s="13"/>
      <c r="I27" s="12" t="n">
        <v>-0.27</v>
      </c>
      <c r="J27" s="1" t="s">
        <v>69</v>
      </c>
    </row>
    <row r="28" customFormat="false" ht="15" hidden="false" customHeight="false" outlineLevel="0" collapsed="false">
      <c r="G28" s="13"/>
      <c r="H28" s="13"/>
      <c r="I28" s="13"/>
    </row>
    <row r="29" customFormat="false" ht="15" hidden="false" customHeight="false" outlineLevel="0" collapsed="false">
      <c r="A29" s="10" t="s">
        <v>70</v>
      </c>
      <c r="G29" s="13"/>
      <c r="H29" s="13"/>
      <c r="I29" s="13"/>
    </row>
    <row r="30" customFormat="false" ht="15" hidden="false" customHeight="false" outlineLevel="0" collapsed="false">
      <c r="A30" s="11" t="s">
        <v>46</v>
      </c>
      <c r="B30" s="11"/>
      <c r="C30" s="11"/>
      <c r="D30" s="11"/>
      <c r="E30" s="11"/>
      <c r="F30" s="11"/>
      <c r="G30" s="14" t="s">
        <v>8</v>
      </c>
      <c r="H30" s="14" t="s">
        <v>9</v>
      </c>
      <c r="I30" s="14" t="s">
        <v>10</v>
      </c>
      <c r="J30" s="11" t="s">
        <v>11</v>
      </c>
    </row>
    <row r="31" customFormat="false" ht="15" hidden="false" customHeight="false" outlineLevel="0" collapsed="false">
      <c r="A31" s="1" t="s">
        <v>71</v>
      </c>
      <c r="G31" s="15" t="n">
        <v>25</v>
      </c>
      <c r="H31" s="15" t="n">
        <v>15</v>
      </c>
      <c r="I31" s="15" t="n">
        <v>25</v>
      </c>
      <c r="J31" s="1" t="s">
        <v>72</v>
      </c>
    </row>
    <row r="32" customFormat="false" ht="15" hidden="false" customHeight="false" outlineLevel="0" collapsed="false">
      <c r="A32" s="1" t="s">
        <v>73</v>
      </c>
      <c r="G32" s="13" t="n">
        <f aca="false">G31</f>
        <v>25</v>
      </c>
      <c r="H32" s="13"/>
      <c r="I32" s="13"/>
      <c r="J32" s="1" t="s">
        <v>74</v>
      </c>
    </row>
    <row r="33" customFormat="false" ht="15" hidden="false" customHeight="false" outlineLevel="0" collapsed="false">
      <c r="A33" s="1" t="s">
        <v>75</v>
      </c>
      <c r="G33" s="13"/>
      <c r="H33" s="15" t="n">
        <v>3.5</v>
      </c>
      <c r="I33" s="13"/>
      <c r="J33" s="1" t="s">
        <v>76</v>
      </c>
    </row>
    <row r="34" customFormat="false" ht="15" hidden="false" customHeight="false" outlineLevel="0" collapsed="false">
      <c r="A34" s="1" t="s">
        <v>77</v>
      </c>
      <c r="G34" s="13" t="n">
        <f aca="false">DEGREES(ASIN((G32-(I20-I21)+I25)/(2*H22)))</f>
        <v>29.3638317514041</v>
      </c>
      <c r="H34" s="13"/>
      <c r="I34" s="13"/>
      <c r="J34" s="1" t="s">
        <v>78</v>
      </c>
    </row>
    <row r="35" customFormat="false" ht="15" hidden="false" customHeight="false" outlineLevel="0" collapsed="false">
      <c r="A35" s="1" t="s">
        <v>79</v>
      </c>
      <c r="G35" s="13"/>
      <c r="H35" s="13" t="n">
        <f aca="false">H20+H22*COS(RADIANS(G34))+H23</f>
        <v>408.694381564611</v>
      </c>
      <c r="I35" s="13"/>
      <c r="J35" s="1" t="s">
        <v>80</v>
      </c>
    </row>
    <row r="36" customFormat="false" ht="15" hidden="false" customHeight="false" outlineLevel="0" collapsed="false">
      <c r="A36" s="10" t="s">
        <v>81</v>
      </c>
      <c r="G36" s="16" t="n">
        <f aca="false">(G26+(-3.64))/2</f>
        <v>-10.14</v>
      </c>
      <c r="H36" s="16" t="n">
        <f aca="false">H35-H33-H31/2</f>
        <v>397.694381564611</v>
      </c>
      <c r="I36" s="16" t="n">
        <f aca="false">(I20+I21)/2+I27</f>
        <v>29.5</v>
      </c>
      <c r="J36" s="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4" min="4" style="1" width="24"/>
  </cols>
  <sheetData>
    <row r="1" customFormat="false" ht="15" hidden="false" customHeight="true" outlineLevel="0" collapsed="false">
      <c r="A1" s="2" t="s">
        <v>83</v>
      </c>
    </row>
    <row r="3" customFormat="false" ht="15" hidden="false" customHeight="true" outlineLevel="0" collapsed="false">
      <c r="A3" s="4" t="s">
        <v>84</v>
      </c>
      <c r="B3" s="4" t="s">
        <v>85</v>
      </c>
      <c r="C3" s="4" t="s">
        <v>86</v>
      </c>
      <c r="D3" s="4" t="s">
        <v>87</v>
      </c>
    </row>
    <row r="4" customFormat="false" ht="15" hidden="false" customHeight="true" outlineLevel="0" collapsed="false">
      <c r="A4" s="5" t="s">
        <v>88</v>
      </c>
      <c r="B4" s="17" t="n">
        <f aca="false">Axes!H6-Axes!H14</f>
        <v>94.22</v>
      </c>
      <c r="C4" s="5" t="s">
        <v>89</v>
      </c>
      <c r="D4" s="5" t="s">
        <v>90</v>
      </c>
    </row>
    <row r="5" customFormat="false" ht="15" hidden="false" customHeight="true" outlineLevel="0" collapsed="false">
      <c r="A5" s="5" t="s">
        <v>91</v>
      </c>
      <c r="B5" s="17" t="n">
        <f aca="false">ABS(Axes!G6-Axes!G5)</f>
        <v>23.15</v>
      </c>
      <c r="C5" s="5" t="s">
        <v>92</v>
      </c>
      <c r="D5" s="5" t="s">
        <v>93</v>
      </c>
    </row>
    <row r="6" customFormat="false" ht="15" hidden="false" customHeight="true" outlineLevel="0" collapsed="false">
      <c r="A6" s="5" t="s">
        <v>94</v>
      </c>
      <c r="B6" s="17" t="n">
        <f aca="false">ABS(Axes!I8-Axes!I5)</f>
        <v>15.25</v>
      </c>
      <c r="C6" s="5" t="s">
        <v>95</v>
      </c>
      <c r="D6" s="5" t="s">
        <v>96</v>
      </c>
    </row>
    <row r="7" customFormat="false" ht="15" hidden="false" customHeight="true" outlineLevel="0" collapsed="false">
      <c r="A7" s="5" t="s">
        <v>97</v>
      </c>
      <c r="B7" s="17" t="n">
        <f aca="false">Axes!H7-Axes!H6</f>
        <v>113.12</v>
      </c>
      <c r="C7" s="5" t="s">
        <v>98</v>
      </c>
      <c r="D7" s="5" t="s">
        <v>99</v>
      </c>
    </row>
    <row r="8" customFormat="false" ht="15" hidden="false" customHeight="true" outlineLevel="0" collapsed="false">
      <c r="A8" s="5" t="s">
        <v>100</v>
      </c>
      <c r="B8" s="17" t="n">
        <f aca="false">Axes!H9-Axes!H7</f>
        <v>126.4</v>
      </c>
      <c r="C8" s="5" t="s">
        <v>101</v>
      </c>
      <c r="D8" s="5" t="s">
        <v>102</v>
      </c>
    </row>
    <row r="9" customFormat="false" ht="15" hidden="false" customHeight="true" outlineLevel="0" collapsed="false">
      <c r="A9" s="5" t="s">
        <v>103</v>
      </c>
      <c r="B9" s="17" t="n">
        <f aca="false">Axes!H35-Axes!H9</f>
        <v>109.454381564611</v>
      </c>
      <c r="C9" s="5" t="s">
        <v>104</v>
      </c>
      <c r="D9" s="5" t="s">
        <v>105</v>
      </c>
    </row>
    <row r="10" customFormat="false" ht="15" hidden="false" customHeight="true" outlineLevel="0" collapsed="false">
      <c r="A10" s="5" t="s">
        <v>106</v>
      </c>
      <c r="B10" s="17" t="n">
        <f aca="false">Axes!H36-Axes!H9</f>
        <v>98.4543815646105</v>
      </c>
      <c r="C10" s="5" t="s">
        <v>107</v>
      </c>
      <c r="D10" s="5" t="s">
        <v>108</v>
      </c>
    </row>
    <row r="11" customFormat="false" ht="15" hidden="false" customHeight="true" outlineLevel="0" collapsed="false">
      <c r="A11" s="18" t="s">
        <v>75</v>
      </c>
      <c r="B11" s="19" t="n">
        <f aca="false">Axes!H33</f>
        <v>3.5</v>
      </c>
      <c r="C11" s="18" t="s">
        <v>109</v>
      </c>
      <c r="D11" s="1" t="s">
        <v>110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20" t="s">
        <v>111</v>
      </c>
    </row>
    <row r="14" customFormat="false" ht="15" hidden="false" customHeight="true" outlineLevel="0" collapsed="false">
      <c r="A14" s="21" t="s">
        <v>84</v>
      </c>
      <c r="B14" s="11" t="s">
        <v>85</v>
      </c>
      <c r="C14" s="11" t="s">
        <v>86</v>
      </c>
      <c r="D14" s="11" t="s">
        <v>87</v>
      </c>
    </row>
    <row r="15" customFormat="false" ht="15" hidden="false" customHeight="true" outlineLevel="0" collapsed="false">
      <c r="A15" s="18" t="s">
        <v>112</v>
      </c>
      <c r="B15" s="13" t="n">
        <f aca="false">Axes!G36-Axes!G9</f>
        <v>13</v>
      </c>
      <c r="C15" s="1" t="s">
        <v>113</v>
      </c>
      <c r="D15" s="1" t="s">
        <v>114</v>
      </c>
    </row>
    <row r="16" customFormat="false" ht="15" hidden="false" customHeight="false" outlineLevel="0" collapsed="false">
      <c r="A16" s="1" t="s">
        <v>115</v>
      </c>
      <c r="B16" s="13" t="n">
        <f aca="false">Axes!G36-Axes!G8</f>
        <v>13</v>
      </c>
      <c r="C16" s="1" t="s">
        <v>116</v>
      </c>
      <c r="D16" s="1" t="s">
        <v>117</v>
      </c>
    </row>
    <row r="17" customFormat="false" ht="15" hidden="false" customHeight="false" outlineLevel="0" collapsed="false">
      <c r="A17" s="1" t="s">
        <v>118</v>
      </c>
      <c r="B17" s="13" t="n">
        <f aca="false">Axes!I36-Axes!I8</f>
        <v>-3.93</v>
      </c>
      <c r="D17" s="1" t="s">
        <v>119</v>
      </c>
    </row>
    <row r="18" customFormat="false" ht="15" hidden="false" customHeight="false" outlineLevel="0" collapsed="false">
      <c r="A18" s="1" t="s">
        <v>120</v>
      </c>
      <c r="B18" s="13" t="n">
        <f aca="false">SQRT(B16^2+B17^2)</f>
        <v>13.5810492967223</v>
      </c>
      <c r="C18" s="1" t="s">
        <v>121</v>
      </c>
      <c r="D18" s="1" t="s">
        <v>122</v>
      </c>
    </row>
    <row r="19" customFormat="false" ht="15" hidden="false" customHeight="false" outlineLevel="0" collapsed="false">
      <c r="A19" s="1" t="s">
        <v>123</v>
      </c>
      <c r="B19" s="13" t="n">
        <f aca="false">Axes!I36-Axes!I5</f>
        <v>11.32</v>
      </c>
      <c r="C19" s="1" t="s">
        <v>124</v>
      </c>
      <c r="D19" s="1" t="s">
        <v>125</v>
      </c>
    </row>
    <row r="21" customFormat="false" ht="15" hidden="false" customHeight="false" outlineLevel="0" collapsed="false">
      <c r="A21" s="10" t="s">
        <v>126</v>
      </c>
    </row>
    <row r="22" customFormat="false" ht="15" hidden="false" customHeight="false" outlineLevel="0" collapsed="false">
      <c r="A22" s="1" t="s">
        <v>127</v>
      </c>
    </row>
    <row r="23" customFormat="false" ht="15" hidden="false" customHeight="false" outlineLevel="0" collapsed="false">
      <c r="A23" s="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2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" t="s">
        <v>129</v>
      </c>
    </row>
    <row r="2" customFormat="false" ht="15" hidden="false" customHeight="true" outlineLevel="0" collapsed="false">
      <c r="A2" s="3" t="s">
        <v>130</v>
      </c>
    </row>
    <row r="3" customFormat="false" ht="15" hidden="false" customHeight="true" outlineLevel="0" collapsed="false">
      <c r="A3" s="18" t="s">
        <v>131</v>
      </c>
      <c r="B3" s="22" t="n">
        <v>2</v>
      </c>
    </row>
    <row r="5" customFormat="false" ht="15" hidden="false" customHeight="true" outlineLevel="0" collapsed="false">
      <c r="A5" s="4" t="s">
        <v>132</v>
      </c>
      <c r="B5" s="4" t="s">
        <v>133</v>
      </c>
      <c r="C5" s="4" t="s">
        <v>134</v>
      </c>
      <c r="D5" s="4" t="s">
        <v>135</v>
      </c>
      <c r="E5" s="4" t="s">
        <v>136</v>
      </c>
    </row>
    <row r="6" customFormat="false" ht="15" hidden="false" customHeight="true" outlineLevel="0" collapsed="false">
      <c r="A6" s="5" t="s">
        <v>137</v>
      </c>
      <c r="B6" s="23" t="n">
        <f aca="false">'IK Lengths'!B4</f>
        <v>94.22</v>
      </c>
      <c r="C6" s="24" t="n">
        <v>94</v>
      </c>
      <c r="D6" s="25" t="n">
        <f aca="false">IF(C6="","",C6-B6)</f>
        <v>-0.219999999999999</v>
      </c>
      <c r="E6" s="5" t="str">
        <f aca="false">IF(C6="","",IF(ABS(D6)&gt;$B$3,"CHECK","OK"))</f>
        <v>OK</v>
      </c>
    </row>
    <row r="7" customFormat="false" ht="15" hidden="false" customHeight="true" outlineLevel="0" collapsed="false">
      <c r="A7" s="5" t="s">
        <v>138</v>
      </c>
      <c r="B7" s="23" t="n">
        <f aca="false">'IK Lengths'!B7</f>
        <v>113.12</v>
      </c>
      <c r="C7" s="24" t="n">
        <v>114</v>
      </c>
      <c r="D7" s="25" t="n">
        <f aca="false">IF(C7="","",C7-B7)</f>
        <v>0.879999999999996</v>
      </c>
      <c r="E7" s="5" t="str">
        <f aca="false">IF(C7="","",IF(ABS(D7)&gt;$B$3,"CHECK","OK"))</f>
        <v>OK</v>
      </c>
    </row>
    <row r="8" customFormat="false" ht="15" hidden="false" customHeight="true" outlineLevel="0" collapsed="false">
      <c r="A8" s="5" t="s">
        <v>139</v>
      </c>
      <c r="B8" s="23" t="n">
        <f aca="false">'IK Lengths'!B8</f>
        <v>126.4</v>
      </c>
      <c r="C8" s="24" t="n">
        <v>127</v>
      </c>
      <c r="D8" s="25" t="n">
        <f aca="false">IF(C8="","",C8-B8)</f>
        <v>0.599999999999994</v>
      </c>
      <c r="E8" s="5" t="str">
        <f aca="false">IF(C8="","",IF(ABS(D8)&gt;$B$3,"CHECK","OK"))</f>
        <v>OK</v>
      </c>
    </row>
    <row r="9" customFormat="false" ht="15" hidden="false" customHeight="true" outlineLevel="0" collapsed="false">
      <c r="A9" s="5" t="s">
        <v>140</v>
      </c>
      <c r="B9" s="23" t="n">
        <f aca="false">'IK Lengths'!B9</f>
        <v>109.454381564611</v>
      </c>
      <c r="C9" s="24" t="n">
        <v>107</v>
      </c>
      <c r="D9" s="25" t="n">
        <f aca="false">IF(C9="","",C9-B9)</f>
        <v>-2.45438156461051</v>
      </c>
      <c r="E9" s="5" t="str">
        <f aca="false">IF(C9="","",IF(ABS(D9)&gt;$B$3,"CHECK","OK"))</f>
        <v>CHECK</v>
      </c>
    </row>
    <row r="11" customFormat="false" ht="15" hidden="false" customHeight="true" outlineLevel="0" collapsed="false">
      <c r="A11" s="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7" t="s">
        <v>142</v>
      </c>
    </row>
    <row r="2" customFormat="false" ht="15" hidden="false" customHeight="true" outlineLevel="0" collapsed="false">
      <c r="A2" s="18" t="s">
        <v>143</v>
      </c>
    </row>
    <row r="3" customFormat="false" ht="15" hidden="false" customHeight="true" outlineLevel="0" collapsed="false">
      <c r="A3" s="18" t="s">
        <v>144</v>
      </c>
    </row>
    <row r="4" customFormat="false" ht="15" hidden="false" customHeight="true" outlineLevel="0" collapsed="false">
      <c r="A4" s="18" t="s">
        <v>145</v>
      </c>
    </row>
    <row r="5" customFormat="false" ht="15" hidden="false" customHeight="true" outlineLevel="0" collapsed="false">
      <c r="A5" s="18"/>
    </row>
    <row r="6" customFormat="false" ht="15" hidden="false" customHeight="true" outlineLevel="0" collapsed="false">
      <c r="A6" s="7" t="s">
        <v>146</v>
      </c>
    </row>
    <row r="7" customFormat="false" ht="15" hidden="false" customHeight="true" outlineLevel="0" collapsed="false">
      <c r="A7" s="18" t="s">
        <v>147</v>
      </c>
    </row>
    <row r="8" customFormat="false" ht="15" hidden="false" customHeight="true" outlineLevel="0" collapsed="false">
      <c r="A8" s="18" t="s">
        <v>148</v>
      </c>
    </row>
    <row r="9" customFormat="false" ht="15" hidden="false" customHeight="true" outlineLevel="0" collapsed="false">
      <c r="A9" s="18" t="s">
        <v>149</v>
      </c>
    </row>
    <row r="12" customFormat="false" ht="15" hidden="false" customHeight="false" outlineLevel="0" collapsed="false">
      <c r="A12" s="10" t="s">
        <v>150</v>
      </c>
    </row>
    <row r="13" customFormat="false" ht="15" hidden="false" customHeight="false" outlineLevel="0" collapsed="false">
      <c r="A13" s="1" t="s">
        <v>151</v>
      </c>
    </row>
    <row r="14" customFormat="false" ht="15" hidden="false" customHeight="false" outlineLevel="0" collapsed="false">
      <c r="A14" s="1" t="s">
        <v>152</v>
      </c>
    </row>
    <row r="15" customFormat="false" ht="15" hidden="false" customHeight="false" outlineLevel="0" collapsed="false">
      <c r="A15" s="1" t="s">
        <v>153</v>
      </c>
    </row>
    <row r="16" customFormat="false" ht="15" hidden="false" customHeight="false" outlineLevel="0" collapsed="false">
      <c r="A16" s="1" t="s">
        <v>154</v>
      </c>
    </row>
    <row r="17" customFormat="false" ht="15" hidden="false" customHeight="false" outlineLevel="0" collapsed="false">
      <c r="A17" s="1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2"/>
    <col collapsed="false" customWidth="true" hidden="false" outlineLevel="0" max="8" min="6" style="0" width="14"/>
    <col collapsed="false" customWidth="true" hidden="false" outlineLevel="0" max="9" min="9" style="0" width="44"/>
  </cols>
  <sheetData>
    <row r="1" customFormat="false" ht="15" hidden="false" customHeight="false" outlineLevel="0" collapsed="false">
      <c r="A1" s="26" t="s">
        <v>156</v>
      </c>
    </row>
    <row r="2" customFormat="false" ht="15" hidden="false" customHeight="false" outlineLevel="0" collapsed="false">
      <c r="A2" s="0" t="s">
        <v>157</v>
      </c>
    </row>
    <row r="4" customFormat="false" ht="15" hidden="false" customHeight="false" outlineLevel="0" collapsed="false">
      <c r="A4" s="11" t="s">
        <v>2</v>
      </c>
      <c r="B4" s="11" t="s">
        <v>7</v>
      </c>
      <c r="C4" s="11" t="s">
        <v>158</v>
      </c>
      <c r="D4" s="11" t="s">
        <v>159</v>
      </c>
      <c r="E4" s="11" t="s">
        <v>160</v>
      </c>
      <c r="F4" s="11" t="s">
        <v>161</v>
      </c>
      <c r="G4" s="11" t="s">
        <v>11</v>
      </c>
    </row>
    <row r="5" customFormat="false" ht="15" hidden="false" customHeight="false" outlineLevel="0" collapsed="false">
      <c r="A5" s="0" t="s">
        <v>162</v>
      </c>
      <c r="B5" s="0" t="s">
        <v>163</v>
      </c>
      <c r="C5" s="13" t="n">
        <f aca="false">Axes!G5</f>
        <v>0</v>
      </c>
      <c r="D5" s="13"/>
      <c r="E5" s="13" t="n">
        <f aca="false">Axes!I5</f>
        <v>18.18</v>
      </c>
      <c r="F5" s="0" t="s">
        <v>164</v>
      </c>
      <c r="G5" s="0" t="s">
        <v>165</v>
      </c>
    </row>
    <row r="6" customFormat="false" ht="15" hidden="false" customHeight="false" outlineLevel="0" collapsed="false">
      <c r="A6" s="0" t="s">
        <v>166</v>
      </c>
      <c r="B6" s="0" t="s">
        <v>167</v>
      </c>
      <c r="C6" s="13" t="n">
        <f aca="false">Axes!G6</f>
        <v>-23.15</v>
      </c>
      <c r="D6" s="13" t="n">
        <f aca="false">Axes!H6</f>
        <v>59.72</v>
      </c>
      <c r="E6" s="13"/>
      <c r="F6" s="0" t="s">
        <v>164</v>
      </c>
      <c r="G6" s="0" t="s">
        <v>168</v>
      </c>
    </row>
    <row r="7" customFormat="false" ht="15" hidden="false" customHeight="false" outlineLevel="0" collapsed="false">
      <c r="A7" s="0" t="s">
        <v>169</v>
      </c>
      <c r="B7" s="0" t="s">
        <v>167</v>
      </c>
      <c r="C7" s="13" t="n">
        <f aca="false">Axes!G7</f>
        <v>-23.14</v>
      </c>
      <c r="D7" s="13" t="n">
        <f aca="false">Axes!H7</f>
        <v>172.84</v>
      </c>
      <c r="E7" s="13"/>
      <c r="F7" s="0" t="s">
        <v>164</v>
      </c>
      <c r="G7" s="0" t="s">
        <v>168</v>
      </c>
    </row>
    <row r="8" customFormat="false" ht="15" hidden="false" customHeight="false" outlineLevel="0" collapsed="false">
      <c r="A8" s="0" t="s">
        <v>170</v>
      </c>
      <c r="B8" s="0" t="s">
        <v>163</v>
      </c>
      <c r="C8" s="13" t="n">
        <f aca="false">Axes!G8</f>
        <v>-23.14</v>
      </c>
      <c r="D8" s="13"/>
      <c r="E8" s="13" t="n">
        <f aca="false">Axes!I8</f>
        <v>33.43</v>
      </c>
      <c r="F8" s="0" t="s">
        <v>164</v>
      </c>
      <c r="G8" s="0" t="s">
        <v>171</v>
      </c>
    </row>
    <row r="9" customFormat="false" ht="15" hidden="false" customHeight="false" outlineLevel="0" collapsed="false">
      <c r="A9" s="0" t="s">
        <v>172</v>
      </c>
      <c r="B9" s="0" t="s">
        <v>167</v>
      </c>
      <c r="C9" s="13" t="n">
        <f aca="false">Axes!G9</f>
        <v>-23.14</v>
      </c>
      <c r="D9" s="13" t="n">
        <f aca="false">Axes!H9</f>
        <v>299.24</v>
      </c>
      <c r="E9" s="13"/>
      <c r="F9" s="0" t="s">
        <v>164</v>
      </c>
      <c r="G9" s="0" t="s">
        <v>173</v>
      </c>
    </row>
    <row r="10" customFormat="false" ht="15" hidden="false" customHeight="false" outlineLevel="0" collapsed="false">
      <c r="A10" s="0" t="s">
        <v>174</v>
      </c>
      <c r="C10" s="13" t="n">
        <f aca="false">Axes!G36</f>
        <v>-10.14</v>
      </c>
      <c r="D10" s="13" t="n">
        <f aca="false">Axes!H36</f>
        <v>397.694381564611</v>
      </c>
      <c r="E10" s="13" t="n">
        <f aca="false">Axes!I36</f>
        <v>29.5</v>
      </c>
      <c r="F10" s="0" t="s">
        <v>175</v>
      </c>
      <c r="G10" s="0" t="s">
        <v>176</v>
      </c>
    </row>
    <row r="12" customFormat="false" ht="15" hidden="false" customHeight="false" outlineLevel="0" collapsed="false">
      <c r="A12" s="11" t="s">
        <v>177</v>
      </c>
      <c r="B12" s="11" t="s">
        <v>133</v>
      </c>
      <c r="C12" s="11" t="s">
        <v>178</v>
      </c>
      <c r="D12" s="11" t="s">
        <v>179</v>
      </c>
      <c r="E12" s="11" t="s">
        <v>11</v>
      </c>
    </row>
    <row r="13" customFormat="false" ht="15" hidden="false" customHeight="false" outlineLevel="0" collapsed="false">
      <c r="A13" s="0" t="s">
        <v>180</v>
      </c>
      <c r="B13" s="13" t="n">
        <f aca="false">'IK Lengths'!B4</f>
        <v>94.22</v>
      </c>
      <c r="C13" s="27" t="n">
        <v>94</v>
      </c>
      <c r="D13" s="0" t="s">
        <v>181</v>
      </c>
      <c r="E13" s="0" t="s">
        <v>182</v>
      </c>
    </row>
    <row r="14" customFormat="false" ht="15" hidden="false" customHeight="false" outlineLevel="0" collapsed="false">
      <c r="A14" s="0" t="s">
        <v>183</v>
      </c>
      <c r="B14" s="13" t="n">
        <f aca="false">'IK Lengths'!B5</f>
        <v>23.15</v>
      </c>
      <c r="C14" s="13"/>
      <c r="D14" s="0" t="s">
        <v>164</v>
      </c>
      <c r="E14" s="0" t="s">
        <v>184</v>
      </c>
    </row>
    <row r="15" customFormat="false" ht="15" hidden="false" customHeight="false" outlineLevel="0" collapsed="false">
      <c r="A15" s="0" t="s">
        <v>185</v>
      </c>
      <c r="B15" s="13" t="n">
        <f aca="false">'IK Lengths'!B7</f>
        <v>113.12</v>
      </c>
      <c r="C15" s="27" t="n">
        <f aca="false">'Real Arm Check'!C7</f>
        <v>114</v>
      </c>
      <c r="D15" s="0" t="s">
        <v>164</v>
      </c>
    </row>
    <row r="16" customFormat="false" ht="15" hidden="false" customHeight="false" outlineLevel="0" collapsed="false">
      <c r="A16" s="0" t="s">
        <v>186</v>
      </c>
      <c r="B16" s="13" t="n">
        <f aca="false">'IK Lengths'!B8</f>
        <v>126.4</v>
      </c>
      <c r="C16" s="27" t="n">
        <f aca="false">'Real Arm Check'!C8</f>
        <v>127</v>
      </c>
      <c r="D16" s="0" t="s">
        <v>164</v>
      </c>
    </row>
    <row r="17" customFormat="false" ht="15" hidden="false" customHeight="false" outlineLevel="0" collapsed="false">
      <c r="A17" s="0" t="s">
        <v>187</v>
      </c>
      <c r="B17" s="13" t="n">
        <f aca="false">'IK Lengths'!B10</f>
        <v>98.4543815646105</v>
      </c>
      <c r="C17" s="13"/>
      <c r="D17" s="0" t="s">
        <v>175</v>
      </c>
      <c r="E17" s="0" t="s">
        <v>188</v>
      </c>
    </row>
    <row r="18" customFormat="false" ht="15" hidden="false" customHeight="false" outlineLevel="0" collapsed="false">
      <c r="A18" s="0" t="s">
        <v>189</v>
      </c>
      <c r="B18" s="13" t="n">
        <f aca="false">'IK Lengths'!B15</f>
        <v>13</v>
      </c>
      <c r="C18" s="13"/>
      <c r="D18" s="0" t="s">
        <v>164</v>
      </c>
    </row>
    <row r="19" customFormat="false" ht="15" hidden="false" customHeight="false" outlineLevel="0" collapsed="false">
      <c r="A19" s="0" t="s">
        <v>190</v>
      </c>
      <c r="B19" s="13" t="n">
        <f aca="false">'IK Lengths'!B19</f>
        <v>11.32</v>
      </c>
      <c r="C19" s="13"/>
      <c r="D19" s="0" t="s">
        <v>164</v>
      </c>
    </row>
    <row r="21" customFormat="false" ht="15" hidden="false" customHeight="false" outlineLevel="0" collapsed="false">
      <c r="A21" s="10" t="s">
        <v>191</v>
      </c>
    </row>
    <row r="22" customFormat="false" ht="15" hidden="false" customHeight="false" outlineLevel="0" collapsed="false">
      <c r="A22" s="11" t="s">
        <v>192</v>
      </c>
      <c r="B22" s="11" t="s">
        <v>193</v>
      </c>
      <c r="C22" s="11" t="s">
        <v>194</v>
      </c>
      <c r="D22" s="11" t="s">
        <v>195</v>
      </c>
      <c r="E22" s="11" t="s">
        <v>196</v>
      </c>
      <c r="F22" s="11" t="s">
        <v>8</v>
      </c>
      <c r="G22" s="11" t="s">
        <v>9</v>
      </c>
      <c r="H22" s="11" t="s">
        <v>10</v>
      </c>
      <c r="I22" s="11" t="s">
        <v>197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-10.14</v>
      </c>
      <c r="G23" s="0" t="n">
        <v>397.69</v>
      </c>
      <c r="H23" s="0" t="n">
        <v>29.5</v>
      </c>
      <c r="I23" s="0" t="s">
        <v>198</v>
      </c>
    </row>
    <row r="24" customFormat="false" ht="15" hidden="false" customHeight="false" outlineLevel="0" collapsed="false">
      <c r="A24" s="0" t="n">
        <v>90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11.32</v>
      </c>
      <c r="G24" s="0" t="n">
        <v>397.69</v>
      </c>
      <c r="H24" s="0" t="n">
        <v>28.32</v>
      </c>
      <c r="I24" s="0" t="s">
        <v>199</v>
      </c>
    </row>
    <row r="25" customFormat="false" ht="15" hidden="false" customHeight="false" outlineLevel="0" collapsed="false">
      <c r="A25" s="0" t="n">
        <v>0</v>
      </c>
      <c r="B25" s="0" t="n">
        <v>30</v>
      </c>
      <c r="C25" s="0" t="n">
        <v>0</v>
      </c>
      <c r="D25" s="0" t="n">
        <v>0</v>
      </c>
      <c r="E25" s="0" t="n">
        <v>0</v>
      </c>
      <c r="F25" s="0" t="n">
        <v>-180.87</v>
      </c>
      <c r="G25" s="0" t="n">
        <v>358.92</v>
      </c>
      <c r="H25" s="0" t="n">
        <v>29.5</v>
      </c>
      <c r="I25" s="0" t="s">
        <v>200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30</v>
      </c>
      <c r="D26" s="0" t="n">
        <v>0</v>
      </c>
      <c r="E26" s="0" t="n">
        <v>0</v>
      </c>
      <c r="F26" s="0" t="n">
        <v>-124.31</v>
      </c>
      <c r="G26" s="0" t="n">
        <v>374.07</v>
      </c>
      <c r="H26" s="0" t="n">
        <v>29.5</v>
      </c>
      <c r="I26" s="0" t="s">
        <v>201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0</v>
      </c>
      <c r="D27" s="0" t="n">
        <v>90</v>
      </c>
      <c r="E27" s="0" t="n">
        <v>0</v>
      </c>
      <c r="F27" s="0" t="n">
        <v>-27.07</v>
      </c>
      <c r="G27" s="0" t="n">
        <v>397.69</v>
      </c>
      <c r="H27" s="0" t="n">
        <v>20.43</v>
      </c>
      <c r="I27" s="0" t="s">
        <v>202</v>
      </c>
    </row>
    <row r="28" customFormat="false" ht="15" hidden="false" customHeight="false" outlineLevel="0" collapsed="false">
      <c r="A28" s="0" t="n">
        <v>0</v>
      </c>
      <c r="B28" s="0" t="n">
        <v>0</v>
      </c>
      <c r="C28" s="0" t="n">
        <v>0</v>
      </c>
      <c r="D28" s="0" t="n">
        <v>0</v>
      </c>
      <c r="E28" s="0" t="n">
        <v>30</v>
      </c>
      <c r="F28" s="0" t="n">
        <v>-61.11</v>
      </c>
      <c r="G28" s="0" t="n">
        <v>391</v>
      </c>
      <c r="H28" s="0" t="n">
        <v>29.5</v>
      </c>
      <c r="I28" s="0" t="s">
        <v>203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n">
        <v>0</v>
      </c>
      <c r="D29" s="0" t="n">
        <v>90</v>
      </c>
      <c r="E29" s="0" t="n">
        <v>30</v>
      </c>
      <c r="F29" s="0" t="n">
        <v>-27.07</v>
      </c>
      <c r="G29" s="0" t="n">
        <v>391</v>
      </c>
      <c r="H29" s="0" t="n">
        <v>71.4</v>
      </c>
      <c r="I29" s="0" t="s">
        <v>204</v>
      </c>
    </row>
    <row r="30" customFormat="false" ht="15" hidden="false" customHeight="false" outlineLevel="0" collapsed="false">
      <c r="A30" s="0" t="n">
        <v>30</v>
      </c>
      <c r="B30" s="0" t="n">
        <v>-45</v>
      </c>
      <c r="C30" s="0" t="n">
        <v>60</v>
      </c>
      <c r="D30" s="0" t="n">
        <v>90</v>
      </c>
      <c r="E30" s="0" t="n">
        <v>-30</v>
      </c>
      <c r="F30" s="0" t="n">
        <v>-22.66</v>
      </c>
      <c r="G30" s="0" t="n">
        <v>336.86</v>
      </c>
      <c r="H30" s="0" t="n">
        <v>-20.97</v>
      </c>
      <c r="I30" s="0" t="s">
        <v>205</v>
      </c>
    </row>
    <row r="31" customFormat="false" ht="15" hidden="false" customHeight="false" outlineLevel="0" collapsed="false">
      <c r="A31" s="0" t="n">
        <v>-45</v>
      </c>
      <c r="B31" s="0" t="n">
        <v>20</v>
      </c>
      <c r="C31" s="0" t="n">
        <v>-30</v>
      </c>
      <c r="D31" s="0" t="n">
        <v>-60</v>
      </c>
      <c r="E31" s="0" t="n">
        <v>45</v>
      </c>
      <c r="F31" s="0" t="n">
        <v>-9.58</v>
      </c>
      <c r="G31" s="0" t="n">
        <v>372.77</v>
      </c>
      <c r="H31" s="0" t="n">
        <v>-46.62</v>
      </c>
      <c r="I31" s="0" t="s">
        <v>206</v>
      </c>
    </row>
    <row r="33" customFormat="false" ht="15" hidden="false" customHeight="false" outlineLevel="0" collapsed="false">
      <c r="A33" s="0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2026-10-25T19:41:34Z</dcterms:created>
  <dc:creator>openpyxl</dc:creator>
  <dc:description/>
  <dc:language>en-US</dc:language>
  <cp:lastModifiedBy/>
  <dcterms:modified xsi:type="dcterms:W3CDTF">2026-10-26T13:50:53Z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