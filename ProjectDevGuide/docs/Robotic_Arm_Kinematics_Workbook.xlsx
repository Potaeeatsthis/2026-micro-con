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Model_Params" sheetId="3" state="visible" r:id="rId3"/>
    <sheet xmlns:r="http://schemas.openxmlformats.org/officeDocument/2006/relationships" name="Servo_Map" sheetId="4" state="visible" r:id="rId4"/>
    <sheet xmlns:r="http://schemas.openxmlformats.org/officeDocument/2006/relationships" name="FK_Calculator" sheetId="5" state="visible" r:id="rId5"/>
    <sheet xmlns:r="http://schemas.openxmlformats.org/officeDocument/2006/relationships" name="IK_Calculator" sheetId="6" state="visible" r:id="rId6"/>
    <sheet xmlns:r="http://schemas.openxmlformats.org/officeDocument/2006/relationships" name="Test_Vectors" sheetId="7" state="visible" r:id="rId7"/>
    <sheet xmlns:r="http://schemas.openxmlformats.org/officeDocument/2006/relationships" name="J1_Location" sheetId="8" state="visible" r:id="rId8"/>
    <sheet xmlns:r="http://schemas.openxmlformats.org/officeDocument/2006/relationships" name="Joint_Axes" sheetId="9" state="visible" r:id="rId9"/>
    <sheet xmlns:r="http://schemas.openxmlformats.org/officeDocument/2006/relationships" name="Link_Lengths" sheetId="10" state="visible" r:id="rId10"/>
    <sheet xmlns:r="http://schemas.openxmlformats.org/officeDocument/2006/relationships" name="Object_Check" sheetId="11" state="visible" r:id="rId11"/>
    <sheet xmlns:r="http://schemas.openxmlformats.org/officeDocument/2006/relationships" name="Open_Items"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00"/>
    <numFmt numFmtId="165" formatCode="0.000000"/>
    <numFmt numFmtId="166" formatCode="0.0000"/>
    <numFmt numFmtId="167" formatCode="0.000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1"/>
    </font>
    <font>
      <name val="Arial"/>
      <charset val="1"/>
      <family val="0"/>
      <b val="1"/>
      <sz val="11"/>
    </font>
    <font>
      <name val="Arial"/>
      <charset val="1"/>
      <family val="0"/>
      <b val="1"/>
      <color rgb="FFFFFFFF"/>
      <sz val="11"/>
    </font>
    <font>
      <name val="Arial"/>
      <charset val="1"/>
      <family val="0"/>
      <color rgb="FF0000FF"/>
      <sz val="11"/>
    </font>
    <font>
      <name val="Arial"/>
      <charset val="1"/>
      <family val="0"/>
      <color rgb="FF008000"/>
      <sz val="11"/>
    </font>
    <font>
      <name val="Arial"/>
      <charset val="1"/>
      <family val="0"/>
      <color theme="1"/>
      <sz val="11"/>
    </font>
  </fonts>
  <fills count="5">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2EFDA"/>
        <bgColor rgb="FFFFFFCC"/>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bottom"/>
    </xf>
    <xf numFmtId="0" fontId="8" fillId="0" borderId="1" applyAlignment="1" pivotButton="0" quotePrefix="0" xfId="0">
      <alignment horizontal="general" vertical="bottom"/>
    </xf>
    <xf numFmtId="0" fontId="5" fillId="0" borderId="1" applyAlignment="1" pivotButton="0" quotePrefix="0" xfId="0">
      <alignment horizontal="general" vertical="top" wrapText="1"/>
    </xf>
    <xf numFmtId="0" fontId="8" fillId="3" borderId="1"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164" fontId="9" fillId="0" borderId="1" applyAlignment="1" pivotButton="0" quotePrefix="0" xfId="0">
      <alignment horizontal="general" vertical="bottom"/>
    </xf>
    <xf numFmtId="164" fontId="5" fillId="0" borderId="1" applyAlignment="1" pivotButton="0" quotePrefix="0" xfId="0">
      <alignment horizontal="general" vertical="bottom"/>
    </xf>
    <xf numFmtId="165" fontId="5" fillId="0" borderId="1" applyAlignment="1" pivotButton="0" quotePrefix="0" xfId="0">
      <alignment horizontal="general" vertical="bottom"/>
    </xf>
    <xf numFmtId="0" fontId="5" fillId="0" borderId="0" applyAlignment="1" pivotButton="0" quotePrefix="0" xfId="0">
      <alignment horizontal="general" vertical="bottom"/>
    </xf>
    <xf numFmtId="0" fontId="9" fillId="0" borderId="1" applyAlignment="1" pivotButton="0" quotePrefix="0" xfId="0">
      <alignment horizontal="general" vertical="bottom"/>
    </xf>
    <xf numFmtId="2" fontId="5" fillId="3" borderId="1" applyAlignment="1" pivotButton="0" quotePrefix="0" xfId="0">
      <alignment horizontal="general" vertical="bottom"/>
    </xf>
    <xf numFmtId="2" fontId="5" fillId="0" borderId="1" applyAlignment="1" pivotButton="0" quotePrefix="0" xfId="0">
      <alignment horizontal="general" vertical="bottom"/>
    </xf>
    <xf numFmtId="2" fontId="8" fillId="3" borderId="1" applyAlignment="1" pivotButton="0" quotePrefix="0" xfId="0">
      <alignment horizontal="general" vertical="bottom"/>
    </xf>
    <xf numFmtId="166" fontId="5" fillId="0" borderId="1" applyAlignment="1" pivotButton="0" quotePrefix="0" xfId="0">
      <alignment horizontal="general" vertical="bottom"/>
    </xf>
    <xf numFmtId="2" fontId="6" fillId="4" borderId="1" applyAlignment="1" pivotButton="0" quotePrefix="0" xfId="0">
      <alignment horizontal="general" vertical="bottom"/>
    </xf>
    <xf numFmtId="0" fontId="6" fillId="4" borderId="1" applyAlignment="1" pivotButton="0" quotePrefix="0" xfId="0">
      <alignment horizontal="general" vertical="top" wrapText="1"/>
    </xf>
    <xf numFmtId="0" fontId="6" fillId="0" borderId="1" applyAlignment="1" pivotButton="0" quotePrefix="0" xfId="0">
      <alignment horizontal="general" vertical="bottom"/>
    </xf>
    <xf numFmtId="0" fontId="6" fillId="4" borderId="1" applyAlignment="1" pivotButton="0" quotePrefix="0" xfId="0">
      <alignment horizontal="general" vertical="bottom"/>
    </xf>
    <xf numFmtId="166" fontId="6" fillId="4" borderId="1" applyAlignment="1" pivotButton="0" quotePrefix="0" xfId="0">
      <alignment horizontal="general" vertical="bottom"/>
    </xf>
    <xf numFmtId="2" fontId="8" fillId="0" borderId="1" applyAlignment="1" pivotButton="0" quotePrefix="0" xfId="0">
      <alignment horizontal="general" vertical="bottom"/>
    </xf>
    <xf numFmtId="167" fontId="6" fillId="4" borderId="1"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0">
      <alignment horizontal="general" vertical="top" wrapText="1"/>
    </xf>
    <xf numFmtId="2" fontId="9" fillId="0" borderId="1" applyAlignment="1" pivotButton="0" quotePrefix="0" xfId="0">
      <alignment horizontal="general" vertical="bottom"/>
    </xf>
    <xf numFmtId="2" fontId="5" fillId="0" borderId="0" applyAlignment="1" pivotButton="0" quotePrefix="0" xfId="0">
      <alignment horizontal="general" vertical="bottom"/>
    </xf>
    <xf numFmtId="0" fontId="8" fillId="0" borderId="0" applyAlignment="1" pivotButton="0" quotePrefix="0" xfId="0">
      <alignment horizontal="general" vertical="bottom"/>
    </xf>
    <xf numFmtId="2"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bottom"/>
    </xf>
    <xf numFmtId="0" fontId="8" fillId="0" borderId="1" applyAlignment="1" pivotButton="0" quotePrefix="0" xfId="0">
      <alignment horizontal="general" vertical="bottom"/>
    </xf>
    <xf numFmtId="0" fontId="5" fillId="0" borderId="1" applyAlignment="1" pivotButton="0" quotePrefix="0" xfId="0">
      <alignment horizontal="general" vertical="top" wrapText="1"/>
    </xf>
    <xf numFmtId="0" fontId="8" fillId="3" borderId="1" applyAlignment="1" pivotButton="0" quotePrefix="0" xfId="0">
      <alignment horizontal="general" vertical="bottom"/>
    </xf>
    <xf numFmtId="0" fontId="6" fillId="0" borderId="0" applyAlignment="1" pivotButton="0" quotePrefix="0" xfId="0">
      <alignment horizontal="general" vertical="bottom"/>
    </xf>
    <xf numFmtId="164" fontId="9" fillId="0" borderId="1" applyAlignment="1" pivotButton="0" quotePrefix="0" xfId="0">
      <alignment horizontal="general" vertical="bottom"/>
    </xf>
    <xf numFmtId="164" fontId="5" fillId="0" borderId="1" applyAlignment="1" pivotButton="0" quotePrefix="0" xfId="0">
      <alignment horizontal="general" vertical="bottom"/>
    </xf>
    <xf numFmtId="165" fontId="5" fillId="0" borderId="1" applyAlignment="1" pivotButton="0" quotePrefix="0" xfId="0">
      <alignment horizontal="general" vertical="bottom"/>
    </xf>
    <xf numFmtId="0" fontId="5" fillId="0" borderId="0" applyAlignment="1" pivotButton="0" quotePrefix="0" xfId="0">
      <alignment horizontal="general" vertical="bottom"/>
    </xf>
    <xf numFmtId="0" fontId="9" fillId="0" borderId="1" applyAlignment="1" pivotButton="0" quotePrefix="0" xfId="0">
      <alignment horizontal="general" vertical="bottom"/>
    </xf>
    <xf numFmtId="2" fontId="5" fillId="3" borderId="1" applyAlignment="1" pivotButton="0" quotePrefix="0" xfId="0">
      <alignment horizontal="general" vertical="bottom"/>
    </xf>
    <xf numFmtId="2" fontId="5" fillId="0" borderId="1" applyAlignment="1" pivotButton="0" quotePrefix="0" xfId="0">
      <alignment horizontal="general" vertical="bottom"/>
    </xf>
    <xf numFmtId="2" fontId="8" fillId="3" borderId="1" applyAlignment="1" pivotButton="0" quotePrefix="0" xfId="0">
      <alignment horizontal="general" vertical="bottom"/>
    </xf>
    <xf numFmtId="166" fontId="5" fillId="0" borderId="1" applyAlignment="1" pivotButton="0" quotePrefix="0" xfId="0">
      <alignment horizontal="general" vertical="bottom"/>
    </xf>
    <xf numFmtId="2" fontId="6" fillId="4" borderId="1" applyAlignment="1" pivotButton="0" quotePrefix="0" xfId="0">
      <alignment horizontal="general" vertical="bottom"/>
    </xf>
    <xf numFmtId="0" fontId="6" fillId="4" borderId="1" applyAlignment="1" pivotButton="0" quotePrefix="0" xfId="0">
      <alignment horizontal="general" vertical="top" wrapText="1"/>
    </xf>
    <xf numFmtId="0" fontId="6" fillId="0" borderId="1" applyAlignment="1" pivotButton="0" quotePrefix="0" xfId="0">
      <alignment horizontal="general" vertical="bottom"/>
    </xf>
    <xf numFmtId="0" fontId="6" fillId="4" borderId="1" applyAlignment="1" pivotButton="0" quotePrefix="0" xfId="0">
      <alignment horizontal="general" vertical="bottom"/>
    </xf>
    <xf numFmtId="0" fontId="0" fillId="0" borderId="4" pivotButton="0" quotePrefix="0" xfId="0"/>
    <xf numFmtId="0" fontId="0" fillId="0" borderId="5" pivotButton="0" quotePrefix="0" xfId="0"/>
    <xf numFmtId="166" fontId="6" fillId="4" borderId="1" applyAlignment="1" pivotButton="0" quotePrefix="0" xfId="0">
      <alignment horizontal="general" vertical="bottom"/>
    </xf>
    <xf numFmtId="2" fontId="8" fillId="0" borderId="1" applyAlignment="1" pivotButton="0" quotePrefix="0" xfId="0">
      <alignment horizontal="general" vertical="bottom"/>
    </xf>
    <xf numFmtId="167" fontId="6" fillId="4" borderId="1"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0">
      <alignment horizontal="general" vertical="top" wrapText="1"/>
    </xf>
    <xf numFmtId="2" fontId="9" fillId="0" borderId="1" applyAlignment="1" pivotButton="0" quotePrefix="0" xfId="0">
      <alignment horizontal="general" vertical="bottom"/>
    </xf>
    <xf numFmtId="2" fontId="5" fillId="0" borderId="0" applyAlignment="1" pivotButton="0" quotePrefix="0" xfId="0">
      <alignment horizontal="general" vertical="bottom"/>
    </xf>
    <xf numFmtId="0" fontId="8" fillId="0" borderId="0" applyAlignment="1" pivotButton="0" quotePrefix="0" xfId="0">
      <alignment horizontal="general" vertical="bottom"/>
    </xf>
    <xf numFmtId="2" fontId="5" fillId="0" borderId="1" applyAlignment="1" pivotButton="0" quotePrefix="0" xfId="0">
      <alignment horizontal="general" vertical="top" wrapText="1"/>
    </xf>
    <xf numFmtId="0" fontId="5" fillId="0" borderId="6" applyAlignment="1" pivotButton="0" quotePrefix="0" xfId="0">
      <alignment horizontal="general" vertical="top" wrapText="1"/>
    </xf>
    <xf numFmtId="0" fontId="0" fillId="0" borderId="8" pivotButton="0" quotePrefix="0" xfId="0"/>
    <xf numFmtId="0" fontId="0" fillId="0" borderId="6" pivotButton="0" quotePrefix="0" xfId="0"/>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140" customWidth="1" style="37" min="1" max="1"/>
  </cols>
  <sheetData>
    <row r="1" ht="17.25" customHeight="1" s="38">
      <c r="A1" s="39" t="inlineStr">
        <is>
          <t>Robotic arm: CAD-based kinematics workbook</t>
        </is>
      </c>
    </row>
    <row r="2" ht="39.75" customHeight="1" s="38">
      <c r="A2" s="40" t="inlineStr">
        <is>
          <t>Source: Fusion file ARM_ASSEMBLY (project 6-DOF-Robotic-Arm-Original). Updated 28 Oct 2026. This workbook is an offline geometry/reference aid only: it does not command hardware and its numbers are not validated motion commands. CAD joints were temporarily posed for validation and restored to their original values; geometry was not changed.</t>
        </is>
      </c>
    </row>
    <row r="3" ht="15" customHeight="1" s="38">
      <c r="A3" s="40" t="n"/>
    </row>
    <row r="4" ht="15" customHeight="1" s="38">
      <c r="A4" s="41" t="inlineStr">
        <is>
          <t>QUICK START FOR FK / IK</t>
        </is>
      </c>
    </row>
    <row r="5" ht="15" customHeight="1" s="38">
      <c r="A5" s="40" t="inlineStr">
        <is>
          <t>1. Inputs: confirm the yellow cells (servo signs, foot height, TCP). The signs are a candidate model mapping and must be retested on the real arm (Servo_Map explains the small 1° physical check).</t>
        </is>
      </c>
    </row>
    <row r="6" ht="15" customHeight="1" s="38">
      <c r="A6" s="40" t="inlineStr">
        <is>
          <t>2. FK_Calculator: type servo angles → tool point X, Y, Z (mm) and orientation.</t>
        </is>
      </c>
    </row>
    <row r="7" ht="15" customHeight="1" s="38">
      <c r="A7" s="40" t="inlineStr">
        <is>
          <t>3. IK_Calculator: type a target X, Y, Z and the gripper pitch φ → servo angles (roll fixed at the reference).</t>
        </is>
      </c>
    </row>
    <row r="8" ht="15" customHeight="1" s="38">
      <c r="A8" s="40" t="inlineStr">
        <is>
          <t>4. Test_Vectors: 9 FK cases and 4 IK cases typed from the CAD, to unit-test your own code. These are typed CAD values, not hardware proof.</t>
        </is>
      </c>
    </row>
    <row r="9" ht="15" customHeight="1" s="38">
      <c r="A9" s="40" t="n"/>
    </row>
    <row r="10" ht="15" customHeight="1" s="38">
      <c r="A10" s="41" t="inlineStr">
        <is>
          <t>SHEETS</t>
        </is>
      </c>
    </row>
    <row r="11" ht="26.25" customHeight="1" s="38">
      <c r="A11" s="40" t="inlineStr">
        <is>
          <t>Inputs · Model_Params (all numbers the equations use, pulled by formula) · Servo_Map · FK_Calculator · IK_Calculator · Test_Vectors · J1_Location (where J1 is on the base plate) · Joint_Axes (all joint axes, CAD and robot frame) · Link_Lengths · Object_Check · Open_Items</t>
        </is>
      </c>
    </row>
    <row r="12" ht="15" customHeight="1" s="38">
      <c r="A12" s="40" t="n"/>
    </row>
    <row r="13" ht="15" customHeight="1" s="38">
      <c r="A13" s="41" t="inlineStr">
        <is>
          <t>COORDINATE FRAMES</t>
        </is>
      </c>
    </row>
    <row r="14" ht="15" customHeight="1" s="38">
      <c r="A14" s="40" t="inlineStr">
        <is>
          <t>Robot frame: origin = J1 axis on the floor/support plane under the base plate; +X forward (towards the curved side of base_link); +Y robot's left; +Z up.</t>
        </is>
      </c>
    </row>
    <row r="15" ht="26.25" customHeight="1" s="38">
      <c r="A15" s="40" t="inlineStr">
        <is>
          <t>Fusion frame: Y up. Robot X = −Fusion X; robot Y = Fusion Z − 18.18; robot Z = Fusion Y + 34.5 (+ foot height). This mapping is right-handed (checked).</t>
        </is>
      </c>
    </row>
    <row r="16" ht="15" customHeight="1" s="38">
      <c r="A16" s="40" t="inlineStr">
        <is>
          <t>Zero pose (all q = 0) = arm straight up = candidate servo 85 / 145 / 88 / 88 / 96 = the CAD as-built pose. Zero alignment is provisional. Model angle q = sign × (servo − reference).</t>
        </is>
      </c>
    </row>
    <row r="17" ht="15" customHeight="1" s="38">
      <c r="A17" s="40" t="n"/>
    </row>
    <row r="18" ht="15" customHeight="1" s="38">
      <c r="A18" s="41" t="inlineStr">
        <is>
          <t>VALIDATION</t>
        </is>
      </c>
    </row>
    <row r="19" ht="26.25" customHeight="1" s="38">
      <c r="A19" s="40" t="inlineStr">
        <is>
          <t>FK: 9 poses (zero, each joint alone, 3 combined) – typed CAD vs this workbook differ by at most 0.01512 mm. IK: 4 typed-CAD cases land within 0.23 mm of target after rounding angles to 0.01°; the model's own rounding contribution is ≈0.028 mm and the rest is unexplained. Neither is a hardware measurement.</t>
        </is>
      </c>
    </row>
    <row r="20" ht="15" customHeight="1" s="38">
      <c r="A20" s="40" t="n"/>
    </row>
    <row r="21" ht="15" customHeight="1" s="38">
      <c r="A21" s="41" t="inlineStr">
        <is>
          <t>LIMITS – READ BEFORE USING</t>
        </is>
      </c>
    </row>
    <row r="22" ht="15" customHeight="1" s="38">
      <c r="A22" s="40" t="inlineStr">
        <is>
          <t>• Candidate servo signs and the provisional zero still need physical retesting; a 1° move (not IK output) is the sign check.</t>
        </is>
      </c>
    </row>
    <row r="23" ht="26.25" customHeight="1" s="38">
      <c r="A23" s="40" t="inlineStr">
        <is>
          <t>• The reference TCP (Inputs!B22:B24) is CAD-derived/imposed, not an independently measured CAD block centre. No block is modelled in CAD. The grip centre is ~13 mm in X and ~6 mm in Y off the wrist-roll axis, so roll moves the tool point.</t>
        </is>
      </c>
    </row>
    <row r="24" ht="15" customHeight="1" s="38">
      <c r="A24" s="40" t="inlineStr">
        <is>
          <t>• CAD agreement does not validate the real arm's X/Y or full FK. Servo endpoints are finite candidate limits, not collision safety. Firmware motion retains commanded-state and pending-endpoint interlocks; physical path clearance still needs verification, and there is no automated collision guarantee.</t>
        </is>
      </c>
    </row>
    <row r="25" ht="15" customHeight="1" s="38">
      <c r="A25" s="40" t="n"/>
    </row>
    <row r="26" ht="15" customHeight="1" s="38">
      <c r="A26" s="41" t="inlineStr">
        <is>
          <t>COLOUR LEGEND</t>
        </is>
      </c>
    </row>
    <row r="27" ht="26.25" customHeight="1" s="38">
      <c r="A27" s="40" t="inlineStr">
        <is>
          <t>Blue text = typed values (CAD readings or our measurements). Black = formulas. Green = linked from another sheet. Yellow fill = cells you edit or must confirm.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42" customWidth="1" style="37" min="1" max="1"/>
    <col width="14" customWidth="1" style="37" min="2" max="2"/>
    <col width="7" customWidth="1" style="37" min="3" max="3"/>
    <col width="75" customWidth="1" style="37" min="4" max="4"/>
  </cols>
  <sheetData>
    <row r="1" ht="17.25" customHeight="1" s="38">
      <c r="A1" s="42" t="inlineStr">
        <is>
          <t>Inputs &amp; reference values</t>
        </is>
      </c>
    </row>
    <row r="3" ht="15" customHeight="1" s="38">
      <c r="A3" s="43" t="inlineStr">
        <is>
          <t>Parameter</t>
        </is>
      </c>
      <c r="B3" s="43" t="inlineStr">
        <is>
          <t>Value</t>
        </is>
      </c>
      <c r="C3" s="43" t="inlineStr">
        <is>
          <t>Unit</t>
        </is>
      </c>
      <c r="D3" s="43" t="inlineStr">
        <is>
          <t>Source / note</t>
        </is>
      </c>
    </row>
    <row r="4" ht="42" customHeight="1" s="38">
      <c r="A4" s="44" t="inlineStr">
        <is>
          <t>Black arrow (robot +X) points toward</t>
        </is>
      </c>
      <c r="B4" s="45" t="inlineStr">
        <is>
          <t>-Fusion X</t>
        </is>
      </c>
      <c r="C4" s="44" t="n"/>
      <c r="D4" s="46" t="inlineStr">
        <is>
          <t>CONFIRMED: you said the front is the curved side of base_link. CAD: that curved r=49 mm wall spans Fusion X −49…0 and the flat box is on +X, so forward = Fusion −X.</t>
        </is>
      </c>
    </row>
    <row r="5" ht="15" customHeight="1" s="38">
      <c r="A5" s="44" t="inlineStr">
        <is>
          <t>Sign s (auto)</t>
        </is>
      </c>
      <c r="B5" s="44">
        <f>IF(B4="+Fusion X",1,IF(B4="-Fusion X",-1,""))</f>
        <v/>
      </c>
      <c r="C5" s="44" t="n"/>
      <c r="D5" s="46" t="inlineStr">
        <is>
          <t>Formula – do not edit</t>
        </is>
      </c>
    </row>
    <row r="6" ht="15" customHeight="1" s="38">
      <c r="A6" s="44" t="inlineStr">
        <is>
          <t>Foot / pad height under real plate</t>
        </is>
      </c>
      <c r="B6" s="47" t="n">
        <v>0</v>
      </c>
      <c r="C6" s="44" t="inlineStr">
        <is>
          <t>mm</t>
        </is>
      </c>
      <c r="D6" s="46" t="inlineStr">
        <is>
          <t>FILL IN: 0 if the plate sits flat on the table. CAD has no feet.</t>
        </is>
      </c>
    </row>
    <row r="7" ht="15" customHeight="1" s="38">
      <c r="A7" s="44" t="inlineStr">
        <is>
          <t>J1 axis Fusion X</t>
        </is>
      </c>
      <c r="B7" s="45" t="n">
        <v>0</v>
      </c>
      <c r="C7" s="44" t="inlineStr">
        <is>
          <t>mm</t>
        </is>
      </c>
      <c r="D7" s="46" t="inlineStr">
        <is>
          <t>CAD: Revolute Base joint origin / servo spline / bearing bore centre</t>
        </is>
      </c>
    </row>
    <row r="8" ht="15" customHeight="1" s="38">
      <c r="A8" s="44" t="inlineStr">
        <is>
          <t>J1 axis Fusion Z</t>
        </is>
      </c>
      <c r="B8" s="45" t="n">
        <v>18.18</v>
      </c>
      <c r="C8" s="44" t="inlineStr">
        <is>
          <t>mm</t>
        </is>
      </c>
      <c r="D8" s="46" t="inlineStr">
        <is>
          <t>CAD: same features, all concentric</t>
        </is>
      </c>
    </row>
    <row r="9" ht="15" customHeight="1" s="38">
      <c r="A9" s="44" t="inlineStr">
        <is>
          <t>Plate bottom face Fusion Y</t>
        </is>
      </c>
      <c r="B9" s="45" t="n">
        <v>-34.5</v>
      </c>
      <c r="C9" s="44" t="inlineStr">
        <is>
          <t>mm</t>
        </is>
      </c>
      <c r="D9" s="46" t="inlineStr">
        <is>
          <t>CAD: base_plate bottom face</t>
        </is>
      </c>
    </row>
    <row r="10" ht="15" customHeight="1" s="38">
      <c r="A10" s="44" t="inlineStr">
        <is>
          <t>Plate top face Fusion Y</t>
        </is>
      </c>
      <c r="B10" s="45" t="n">
        <v>-30.5</v>
      </c>
      <c r="C10" s="44" t="inlineStr">
        <is>
          <t>mm</t>
        </is>
      </c>
      <c r="D10" s="46" t="inlineStr">
        <is>
          <t>CAD: base_plate top face</t>
        </is>
      </c>
    </row>
    <row r="11" ht="15" customHeight="1" s="38">
      <c r="A11" s="44" t="n"/>
      <c r="B11" s="45" t="n"/>
      <c r="C11" s="44" t="n"/>
      <c r="D11" s="46" t="n"/>
    </row>
    <row r="12" ht="15" customHeight="1" s="38">
      <c r="A12" s="44" t="inlineStr">
        <is>
          <t>Servo reference angle J1 (= model 0)</t>
        </is>
      </c>
      <c r="B12" s="45" t="n">
        <v>85</v>
      </c>
      <c r="C12" s="44" t="inlineStr">
        <is>
          <t>deg</t>
        </is>
      </c>
      <c r="D12" s="46" t="inlineStr">
        <is>
          <t>User-supplied candidate zero on the real arm; zero alignment is provisional (see Servo_Map).</t>
        </is>
      </c>
    </row>
    <row r="13" ht="15" customHeight="1" s="38">
      <c r="A13" s="44" t="inlineStr">
        <is>
          <t>Servo reference angle J2 (= model 0)</t>
        </is>
      </c>
      <c r="B13" s="45" t="n">
        <v>145</v>
      </c>
      <c r="C13" s="44" t="inlineStr">
        <is>
          <t>deg</t>
        </is>
      </c>
      <c r="D13" s="46" t="inlineStr">
        <is>
          <t>User-supplied candidate zero on the real arm; zero alignment is provisional (see Servo_Map).</t>
        </is>
      </c>
    </row>
    <row r="14" ht="15" customHeight="1" s="38">
      <c r="A14" s="44" t="inlineStr">
        <is>
          <t>Servo reference angle J3 (= model 0)</t>
        </is>
      </c>
      <c r="B14" s="45" t="n">
        <v>88</v>
      </c>
      <c r="C14" s="44" t="inlineStr">
        <is>
          <t>deg</t>
        </is>
      </c>
      <c r="D14" s="46" t="inlineStr">
        <is>
          <t>User-supplied candidate zero on the real arm; zero alignment is provisional (see Servo_Map).</t>
        </is>
      </c>
    </row>
    <row r="15" ht="15" customHeight="1" s="38">
      <c r="A15" s="44" t="inlineStr">
        <is>
          <t>Servo reference angle J4 (= model 0)</t>
        </is>
      </c>
      <c r="B15" s="45" t="n">
        <v>88</v>
      </c>
      <c r="C15" s="44" t="inlineStr">
        <is>
          <t>deg</t>
        </is>
      </c>
      <c r="D15" s="46" t="inlineStr">
        <is>
          <t>User-supplied candidate zero on the real arm; zero alignment is provisional (see Servo_Map).</t>
        </is>
      </c>
    </row>
    <row r="16" ht="15" customHeight="1" s="38">
      <c r="A16" s="44" t="inlineStr">
        <is>
          <t>Servo reference angle J5 (= model 0)</t>
        </is>
      </c>
      <c r="B16" s="45" t="n">
        <v>96</v>
      </c>
      <c r="C16" s="44" t="inlineStr">
        <is>
          <t>deg</t>
        </is>
      </c>
      <c r="D16" s="46" t="inlineStr">
        <is>
          <t>User-supplied candidate zero on the real arm; zero alignment is provisional (see Servo_Map).</t>
        </is>
      </c>
    </row>
    <row r="17" ht="15" customHeight="1" s="38">
      <c r="A17" s="44" t="inlineStr">
        <is>
          <t>J6 gripper closed</t>
        </is>
      </c>
      <c r="B17" s="45" t="n">
        <v>0</v>
      </c>
      <c r="C17" s="44" t="inlineStr">
        <is>
          <t>deg</t>
        </is>
      </c>
      <c r="D17" s="46" t="inlineStr">
        <is>
          <t>Our team</t>
        </is>
      </c>
    </row>
    <row r="18" ht="15" customHeight="1" s="38">
      <c r="A18" s="44" t="inlineStr">
        <is>
          <t>J6 gripper startup / home</t>
        </is>
      </c>
      <c r="B18" s="45" t="n">
        <v>40</v>
      </c>
      <c r="C18" s="44" t="inlineStr">
        <is>
          <t>deg</t>
        </is>
      </c>
      <c r="D18" s="46" t="inlineStr">
        <is>
          <t>Our team. Startup/home only; not the holding angle (holding = 20°).</t>
        </is>
      </c>
    </row>
    <row r="19" ht="15" customHeight="1" s="38">
      <c r="A19" s="44" t="inlineStr">
        <is>
          <t>J6 angle while holding the object</t>
        </is>
      </c>
      <c r="B19" s="47" t="n">
        <v>20</v>
      </c>
      <c r="C19" s="44" t="inlineStr">
        <is>
          <t>deg</t>
        </is>
      </c>
      <c r="D19" s="46" t="inlineStr">
        <is>
          <t>Known measured holding angle = 20°. This is not the 40° startup/home angle and not the separate CAD gear angle (also 20°); CAD gear geometry is not a holding measurement.</t>
        </is>
      </c>
    </row>
    <row r="21" ht="15" customHeight="1" s="38">
      <c r="A21" s="48" t="inlineStr">
        <is>
          <t>Tool point (TCP) in the reference pose, robot frame</t>
        </is>
      </c>
    </row>
    <row r="22" ht="26.25" customHeight="1" s="38">
      <c r="A22" s="44" t="inlineStr">
        <is>
          <t>TCP X at reference pose</t>
        </is>
      </c>
      <c r="B22" s="45" t="n">
        <v>10.15</v>
      </c>
      <c r="C22" s="44" t="inlineStr">
        <is>
          <t>mm</t>
        </is>
      </c>
      <c r="D22" s="46" t="inlineStr">
        <is>
          <t>Reference TCP is CAD-derived/imposed, not an independently measured CAD block centre. CAD jaw-gap centreline gives 10.10 (see Object_Check).</t>
        </is>
      </c>
    </row>
    <row r="23" ht="15" customHeight="1" s="38">
      <c r="A23" s="44" t="inlineStr">
        <is>
          <t>TCP Y at reference pose</t>
        </is>
      </c>
      <c r="B23" s="45" t="n">
        <v>9.52</v>
      </c>
      <c r="C23" s="44" t="inlineStr">
        <is>
          <t>mm</t>
        </is>
      </c>
      <c r="D23" s="46" t="inlineStr">
        <is>
          <t>Offline hybrid model; the reference is CAD-derived/imposed, not independently measured. CAD jaw-gap centreline gives 9.37.</t>
        </is>
      </c>
    </row>
    <row r="24" ht="26.25" customHeight="1" s="38">
      <c r="A24" s="44" t="inlineStr">
        <is>
          <t>TCP Z at reference pose</t>
        </is>
      </c>
      <c r="B24" s="45" t="n">
        <v>438.5</v>
      </c>
      <c r="C24" s="44" t="inlineStr">
        <is>
          <t>mm</t>
        </is>
      </c>
      <c r="D24" s="46" t="inlineStr">
        <is>
          <t>Derived: measured block top 446 mm − 15/2 (assumes 15 mm vertical and a level top). Used to construct the tool offset, so the reference height matches by construction, not independently.</t>
        </is>
      </c>
    </row>
    <row r="26" ht="15" customHeight="1" s="38">
      <c r="A26" s="48" t="inlineStr">
        <is>
          <t>Servo direction signs (candidate model mapping; retest on the real arm – not CAD axis signs)</t>
        </is>
      </c>
    </row>
    <row r="27" ht="26.25" customHeight="1" s="38">
      <c r="A27" s="44" t="inlineStr">
        <is>
          <t>Sign J1</t>
        </is>
      </c>
      <c r="B27" s="47" t="n">
        <v>1</v>
      </c>
      <c r="C27" s="44" t="inlineStr">
        <is>
          <t>±1</t>
        </is>
      </c>
      <c r="D27" s="46" t="inlineStr">
        <is>
          <t>+1 if increasing the servo angle moves the joint in the model's + direction (defined on Servo_Map); −1 if opposite.</t>
        </is>
      </c>
    </row>
    <row r="28" ht="26.25" customHeight="1" s="38">
      <c r="A28" s="44" t="inlineStr">
        <is>
          <t>Sign J2</t>
        </is>
      </c>
      <c r="B28" s="47" t="n">
        <v>-1</v>
      </c>
      <c r="C28" s="44" t="inlineStr">
        <is>
          <t>±1</t>
        </is>
      </c>
      <c r="D28" s="46" t="inlineStr">
        <is>
          <t>+1 if increasing the servo angle moves the joint in the model's + direction (defined on Servo_Map); −1 if opposite.</t>
        </is>
      </c>
    </row>
    <row r="29" ht="26.25" customHeight="1" s="38">
      <c r="A29" s="44" t="inlineStr">
        <is>
          <t>Sign J3</t>
        </is>
      </c>
      <c r="B29" s="47" t="n">
        <v>1</v>
      </c>
      <c r="C29" s="44" t="inlineStr">
        <is>
          <t>±1</t>
        </is>
      </c>
      <c r="D29" s="46" t="inlineStr">
        <is>
          <t>+1 if increasing the servo angle moves the joint in the model's + direction (defined on Servo_Map); −1 if opposite.</t>
        </is>
      </c>
    </row>
    <row r="30" ht="26.25" customHeight="1" s="38">
      <c r="A30" s="44" t="inlineStr">
        <is>
          <t>Sign J4</t>
        </is>
      </c>
      <c r="B30" s="47" t="n">
        <v>1</v>
      </c>
      <c r="C30" s="44" t="inlineStr">
        <is>
          <t>±1</t>
        </is>
      </c>
      <c r="D30" s="46" t="inlineStr">
        <is>
          <t>+1 if increasing the servo angle moves the joint in the model's + direction (defined on Servo_Map); −1 if opposite.</t>
        </is>
      </c>
    </row>
    <row r="31" ht="26.25" customHeight="1" s="38">
      <c r="A31" s="44" t="inlineStr">
        <is>
          <t>Sign J5</t>
        </is>
      </c>
      <c r="B31" s="47" t="n">
        <v>-1</v>
      </c>
      <c r="C31" s="44" t="inlineStr">
        <is>
          <t>±1</t>
        </is>
      </c>
      <c r="D31" s="46" t="inlineStr">
        <is>
          <t>Provisional: J5 sign still needs retesting at the active J4 = 88°.</t>
        </is>
      </c>
    </row>
    <row r="32" ht="30" customHeight="1" s="38">
      <c r="A32" s="37" t="inlineStr">
        <is>
          <t>Sign validation</t>
        </is>
      </c>
      <c r="B32" s="47">
        <f>IF(AND(COUNT(B27:B31)=5,SUMPRODUCT(--(ABS(B27:B31)&lt;&gt;1))=0),"OK: signs are ±1","INVALID: each sign must be exactly +1 or -1")</f>
        <v/>
      </c>
      <c r="C32" s="44" t="inlineStr">
        <is>
          <t>±1</t>
        </is>
      </c>
      <c r="D32" s="46" t="inlineStr">
        <is>
          <t>Formula check only: signed model mapping, not CAD axis signs. Values outside ±1 make FK/IK inputs invalid.</t>
        </is>
      </c>
    </row>
    <row r="33" ht="15" customHeight="1" s="38">
      <c r="A33" s="48" t="inlineStr">
        <is>
          <t>Installed servo endpoints (candidate per joint – endpoint check only, not collision-safe)</t>
        </is>
      </c>
    </row>
    <row r="34" ht="26.25" customHeight="1" s="38">
      <c r="A34" s="43" t="inlineStr">
        <is>
          <t>Joint</t>
        </is>
      </c>
      <c r="B34" s="43" t="inlineStr">
        <is>
          <t>Min (deg)</t>
        </is>
      </c>
      <c r="C34" s="43" t="inlineStr">
        <is>
          <t>Max (deg)</t>
        </is>
      </c>
      <c r="D34" s="43" t="inlineStr">
        <is>
          <t>Note</t>
        </is>
      </c>
    </row>
    <row r="35" ht="15" customHeight="1" s="38">
      <c r="A35" s="44" t="inlineStr">
        <is>
          <t>J1</t>
        </is>
      </c>
      <c r="B35" s="47" t="n">
        <v>0</v>
      </c>
      <c r="C35" s="47" t="n">
        <v>180</v>
      </c>
      <c r="D35" s="46" t="inlineStr">
        <is>
          <t>Base yaw</t>
        </is>
      </c>
    </row>
    <row r="36" ht="15" customHeight="1" s="38">
      <c r="A36" s="44" t="inlineStr">
        <is>
          <t>J2</t>
        </is>
      </c>
      <c r="B36" s="47" t="n">
        <v>50</v>
      </c>
      <c r="C36" s="47" t="n">
        <v>180</v>
      </c>
      <c r="D36" s="46" t="inlineStr">
        <is>
          <t>Shoulder</t>
        </is>
      </c>
    </row>
    <row r="37" ht="15" customHeight="1" s="38">
      <c r="A37" s="44" t="inlineStr">
        <is>
          <t>J3</t>
        </is>
      </c>
      <c r="B37" s="47" t="n">
        <v>45</v>
      </c>
      <c r="C37" s="47" t="n">
        <v>180</v>
      </c>
      <c r="D37" s="46" t="inlineStr">
        <is>
          <t>Elbow</t>
        </is>
      </c>
    </row>
    <row r="38" ht="15" customHeight="1" s="38">
      <c r="A38" s="44" t="inlineStr">
        <is>
          <t>J4</t>
        </is>
      </c>
      <c r="B38" s="47" t="n">
        <v>0</v>
      </c>
      <c r="C38" s="47" t="n">
        <v>180</v>
      </c>
      <c r="D38" s="46" t="inlineStr">
        <is>
          <t>Wrist roll</t>
        </is>
      </c>
    </row>
    <row r="39" ht="15" customHeight="1" s="38">
      <c r="A39" s="44" t="inlineStr">
        <is>
          <t>J5</t>
        </is>
      </c>
      <c r="B39" s="47" t="n">
        <v>25</v>
      </c>
      <c r="C39" s="47" t="n">
        <v>140</v>
      </c>
      <c r="D39" s="46" t="inlineStr">
        <is>
          <t>Wrist pitch</t>
        </is>
      </c>
    </row>
    <row r="40" ht="15" customHeight="1" s="38">
      <c r="A40" s="44" t="inlineStr">
        <is>
          <t>J6</t>
        </is>
      </c>
      <c r="B40" s="47" t="n">
        <v>0</v>
      </c>
      <c r="C40" s="47" t="n">
        <v>60</v>
      </c>
      <c r="D40" s="46" t="inlineStr">
        <is>
          <t>Gripper; 40 = startup/home only</t>
        </is>
      </c>
    </row>
    <row r="41" ht="30" customHeight="1" s="38">
      <c r="A41" s="46" t="inlineStr">
        <is>
          <t>Endpoints are candidate software limits / finite sample bounds, not a certified-safe workspace. Firmware motion retains commanded-state and pending-endpoint interlocks; physical path clearance still needs verification, and there is no automated collision guarantee.</t>
        </is>
      </c>
    </row>
  </sheetData>
  <dataValidations count="2">
    <dataValidation sqref="B4" showDropDown="0" showInputMessage="0" showErrorMessage="0" allowBlank="1" type="list" errorStyle="stop" operator="between">
      <formula1>"+Fusion X,-Fusion X"</formula1>
      <formula2>0</formula2>
    </dataValidation>
    <dataValidation sqref="B27:B31" showDropDown="0" showInputMessage="0" showErrorMessage="1" allowBlank="0" errorTitle="Sign must be +1 or -1" error="Enter exactly +1 or -1. This is a model-mapping sign, not a CAD axis sign." type="list" errorStyle="stop" operator="between">
      <formula1>"1,-1"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48" customWidth="1" style="37" min="1" max="1"/>
    <col width="14" customWidth="1" style="37" min="2" max="4"/>
    <col width="70" customWidth="1" style="37" min="5" max="5"/>
  </cols>
  <sheetData>
    <row r="1" ht="17.25" customHeight="1" s="38">
      <c r="A1" s="42" t="inlineStr">
        <is>
          <t>Model parameters (robot frame, zero pose = CAD as-built pose = servo reference pose)</t>
        </is>
      </c>
    </row>
    <row r="2" ht="39.75" customHeight="1" s="38">
      <c r="A2" s="40" t="inlineStr">
        <is>
          <t>Everything here is a formula pulling from Joint_Axes and Inputs, so it updates if the arrow, foot height or TCP change. FK_Calculator, IK_Calculator and Test_Vectors all read this sheet. Zero pose: arm straight up, all q = 0.</t>
        </is>
      </c>
    </row>
    <row r="4" ht="15" customHeight="1" s="38">
      <c r="A4" s="43" t="inlineStr">
        <is>
          <t>Quantity</t>
        </is>
      </c>
      <c r="B4" s="43" t="inlineStr">
        <is>
          <t>X (mm)</t>
        </is>
      </c>
      <c r="C4" s="43" t="inlineStr">
        <is>
          <t>Y (mm)</t>
        </is>
      </c>
      <c r="D4" s="43" t="inlineStr">
        <is>
          <t>Z (mm)</t>
        </is>
      </c>
      <c r="E4" s="43" t="inlineStr">
        <is>
          <t>Meaning</t>
        </is>
      </c>
    </row>
    <row r="5" ht="26.25" customHeight="1" s="38">
      <c r="A5" s="44" t="inlineStr">
        <is>
          <t>S  shoulder (J2) axis point</t>
        </is>
      </c>
      <c r="B5" s="49">
        <f>Joint_Axes!L6</f>
        <v/>
      </c>
      <c r="C5" s="49">
        <f>Joint_Axes!M8</f>
        <v/>
      </c>
      <c r="D5" s="49">
        <f>Joint_Axes!N6</f>
        <v/>
      </c>
      <c r="E5" s="46" t="inlineStr">
        <is>
          <t>A point on the J2 axis. In this model J2/J3/J5 pitch axes are parallel to robot Y (J4 roll is not); the Y coordinate is arbitrary and the arm-plane Y is used. D5 is fixed by the base/foot height, not by arm joint angles.</t>
        </is>
      </c>
    </row>
    <row r="6" ht="15" customHeight="1" s="38">
      <c r="A6" s="44" t="inlineStr">
        <is>
          <t>E  elbow (J3) axis point</t>
        </is>
      </c>
      <c r="B6" s="49">
        <f>Joint_Axes!L7</f>
        <v/>
      </c>
      <c r="C6" s="49">
        <f>Joint_Axes!M8</f>
        <v/>
      </c>
      <c r="D6" s="49">
        <f>Joint_Axes!N7</f>
        <v/>
      </c>
      <c r="E6" s="46" t="inlineStr">
        <is>
          <t>A point on the J3 axis.</t>
        </is>
      </c>
    </row>
    <row r="7" ht="15" customHeight="1" s="38">
      <c r="A7" s="44" t="inlineStr">
        <is>
          <t>W  wrist centre (J4 roll axis ∩ J5 pitch axis)</t>
        </is>
      </c>
      <c r="B7" s="49">
        <f>Joint_Axes!L9</f>
        <v/>
      </c>
      <c r="C7" s="49">
        <f>Joint_Axes!M8</f>
        <v/>
      </c>
      <c r="D7" s="49">
        <f>Joint_Axes!N9</f>
        <v/>
      </c>
      <c r="E7" s="46" t="inlineStr">
        <is>
          <t>The J4 and J5 axes intersect here (checked in CAD).</t>
        </is>
      </c>
    </row>
    <row r="8" ht="15" customHeight="1" s="38">
      <c r="A8" s="44" t="inlineStr">
        <is>
          <t>TCP at reference pose (block centre)</t>
        </is>
      </c>
      <c r="B8" s="49">
        <f>Inputs!B22</f>
        <v/>
      </c>
      <c r="C8" s="49">
        <f>Inputs!B23</f>
        <v/>
      </c>
      <c r="D8" s="49">
        <f>Inputs!B24</f>
        <v/>
      </c>
      <c r="E8" s="46" t="inlineStr">
        <is>
          <t>Tool point used by FK/IK. Edit on Inputs. The reference is CAD-derived/imposed, not an independently measured CAD block centre.</t>
        </is>
      </c>
    </row>
    <row r="9" ht="30" customHeight="1" s="38">
      <c r="A9" s="44" t="inlineStr">
        <is>
          <t>v_SE = E − S</t>
        </is>
      </c>
      <c r="B9" s="50">
        <f>B6-B5</f>
        <v/>
      </c>
      <c r="C9" s="50">
        <f>C6-C5</f>
        <v/>
      </c>
      <c r="D9" s="50">
        <f>D6-D5</f>
        <v/>
      </c>
      <c r="E9" s="46" t="inlineStr">
        <is>
          <t>Upper-arm vector at zero pose</t>
        </is>
      </c>
    </row>
    <row r="10" ht="30" customHeight="1" s="38">
      <c r="A10" s="44" t="inlineStr">
        <is>
          <t>v_EW = W − E</t>
        </is>
      </c>
      <c r="B10" s="50">
        <f>B7-B6</f>
        <v/>
      </c>
      <c r="C10" s="50">
        <f>C7-C6</f>
        <v/>
      </c>
      <c r="D10" s="50">
        <f>D7-D6</f>
        <v/>
      </c>
      <c r="E10" s="46" t="inlineStr">
        <is>
          <t>Forearm vector at zero pose</t>
        </is>
      </c>
    </row>
    <row r="11" ht="30" customHeight="1" s="38">
      <c r="A11" s="44" t="inlineStr">
        <is>
          <t>t = TCP − W (tool offset in zero pose)</t>
        </is>
      </c>
      <c r="B11" s="50">
        <f>B8-B7</f>
        <v/>
      </c>
      <c r="C11" s="50">
        <f>C8-C7</f>
        <v/>
      </c>
      <c r="D11" s="50">
        <f>D8-D7</f>
        <v/>
      </c>
      <c r="E11" s="46" t="inlineStr">
        <is>
          <t>Gripper offset from the wrist centre. Note X/Y are non-zero: the gripper's grip centre is NOT on the roll axis.</t>
        </is>
      </c>
    </row>
    <row r="13" ht="15" customHeight="1" s="38">
      <c r="A13" s="43" t="inlineStr">
        <is>
          <t>Derived</t>
        </is>
      </c>
      <c r="B13" s="43" t="inlineStr">
        <is>
          <t>Value</t>
        </is>
      </c>
      <c r="C13" s="43" t="n"/>
      <c r="D13" s="43" t="n"/>
      <c r="E13" s="43" t="inlineStr">
        <is>
          <t>Meaning</t>
        </is>
      </c>
    </row>
    <row r="14" ht="30" customHeight="1" s="38">
      <c r="A14" s="44" t="inlineStr">
        <is>
          <t>L2  upper-arm length (mm)</t>
        </is>
      </c>
      <c r="B14" s="50">
        <f>SQRT(B9^2+D9^2)</f>
        <v/>
      </c>
      <c r="E14" s="46" t="inlineStr">
        <is>
          <t>|v_SE|</t>
        </is>
      </c>
    </row>
    <row r="15" ht="30" customHeight="1" s="38">
      <c r="A15" s="44" t="inlineStr">
        <is>
          <t>L3  forearm length (mm)</t>
        </is>
      </c>
      <c r="B15" s="50">
        <f>SQRT(B10^2+D10^2)</f>
        <v/>
      </c>
      <c r="E15" s="46" t="inlineStr">
        <is>
          <t>|v_EW|</t>
        </is>
      </c>
    </row>
    <row r="16" ht="30" customHeight="1" s="38">
      <c r="A16" s="44" t="inlineStr">
        <is>
          <t>δ  upper-arm lean at zero (rad)</t>
        </is>
      </c>
      <c r="B16" s="51">
        <f>ATAN2(D9,B9)</f>
        <v/>
      </c>
      <c r="E16" s="46" t="inlineStr">
        <is>
          <t>~0: the CAD has a 0.01 mm sideways offset between shoulder and elbow axes; included for exactness.</t>
        </is>
      </c>
    </row>
    <row r="17" ht="30" customHeight="1" s="38">
      <c r="A17" s="44" t="inlineStr">
        <is>
          <t>d  arm-plane offset from J1 axis, robot Y (mm)</t>
        </is>
      </c>
      <c r="B17" s="50">
        <f>C7</f>
        <v/>
      </c>
      <c r="E17" s="46" t="inlineStr">
        <is>
          <t>Constant sideways offset of the shoulder/elbow/wrist plane from the J1 axis</t>
        </is>
      </c>
    </row>
    <row r="19" ht="15" customHeight="1" s="38">
      <c r="A19" s="48" t="inlineStr">
        <is>
          <t>Model equations (q in radians; Ry, Rz are right-handed rotations about robot Y and Z)</t>
        </is>
      </c>
    </row>
    <row r="20" ht="15" customHeight="1" s="38">
      <c r="A20" s="52" t="inlineStr">
        <is>
          <t>TCP = Rz(q1) · [ S + Ry(q2)·v_SE + Ry(q2+q3)·( v_EW + Rz(q4)·Ry(q5)·t ) ]</t>
        </is>
      </c>
    </row>
    <row r="21" ht="15" customHeight="1" s="38">
      <c r="A21" s="52" t="inlineStr">
        <is>
          <t>Gripper orientation R = Rz(q1) · Ry(q2+q3) · Rz(q4) · Ry(q5)     (approach = R·ẑ, jaw-opening axis = R·ŷ)</t>
        </is>
      </c>
    </row>
    <row r="22" ht="15" customHeight="1" s="38">
      <c r="A22" s="52" t="inlineStr">
        <is>
          <t>Model angle  q = sign × (servo − servo_reference).   Zero pose (all q=0) = servo 85 / 145 / 88 / 88 / 96.</t>
        </is>
      </c>
    </row>
    <row r="23" ht="15" customHeight="1" s="38">
      <c r="A23" s="52" t="inlineStr">
        <is>
          <t>Validated against the Fusion model: 9 poses incl. combined moves, max difference 0.01512 mm (typed CAD values read to 0.01 mm; see Test_Vectors).</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16" customWidth="1" style="37" min="1" max="1"/>
    <col width="12" customWidth="1" style="37" min="2" max="2"/>
    <col width="9" customWidth="1" style="37" min="3" max="3"/>
    <col width="46" customWidth="1" style="37" min="4" max="4"/>
    <col width="22" customWidth="1" style="37" min="5" max="5"/>
    <col width="12" customWidth="1" style="37" min="6" max="10"/>
  </cols>
  <sheetData>
    <row r="1" ht="17.25" customHeight="1" s="38">
      <c r="A1" s="42" t="inlineStr">
        <is>
          <t>Servo ↔ model angle mapping</t>
        </is>
      </c>
    </row>
    <row r="2" ht="48" customHeight="1" s="38">
      <c r="A2" s="40" t="inlineStr">
        <is>
          <t>q = sign × (servo − reference). Candidate zeros are 85 / 145 / 88 / 88 / 96. The signs are the signed model mapping, not CAD axis signs: J1 = +1, J2 = −1, J3 = +1, J4 = +1, J5 = −1 (J5 is provisional at the active J4 = 88°). Retest on the real arm and enter on Inputs!B27:B31.</t>
        </is>
      </c>
    </row>
    <row r="4" ht="45" customHeight="1" s="38">
      <c r="A4" s="43" t="inlineStr">
        <is>
          <t>Joint</t>
        </is>
      </c>
      <c r="B4" s="43" t="inlineStr">
        <is>
          <t>Servo reference (deg)</t>
        </is>
      </c>
      <c r="C4" s="43" t="inlineStr">
        <is>
          <t>Sign (Inputs)</t>
        </is>
      </c>
      <c r="D4" s="43" t="inlineStr">
        <is>
          <t>Meaning of + q (model)</t>
        </is>
      </c>
      <c r="E4" s="43" t="inlineStr">
        <is>
          <t>Fusion joint name</t>
        </is>
      </c>
      <c r="F4" s="43" t="inlineStr">
        <is>
          <t>Fusion joint value = f × q</t>
        </is>
      </c>
      <c r="G4" s="43" t="inlineStr">
        <is>
          <t>Servo (input, deg)</t>
        </is>
      </c>
      <c r="H4" s="43" t="inlineStr">
        <is>
          <t>q from servo (deg)</t>
        </is>
      </c>
      <c r="I4" s="43" t="inlineStr">
        <is>
          <t>q (input, deg)</t>
        </is>
      </c>
      <c r="J4" s="43" t="inlineStr">
        <is>
          <t>Servo from q (deg)</t>
        </is>
      </c>
    </row>
    <row r="5" ht="43.5" customHeight="1" s="38">
      <c r="A5" s="44" t="inlineStr">
        <is>
          <t>J1 base yaw</t>
        </is>
      </c>
      <c r="B5" s="53">
        <f>Inputs!B12</f>
        <v/>
      </c>
      <c r="C5" s="53">
        <f>Inputs!B27</f>
        <v/>
      </c>
      <c r="D5" s="46" t="inlineStr">
        <is>
          <t>Counter-clockwise seen from above (turns the arm toward +Y, the robot's left)</t>
        </is>
      </c>
      <c r="E5" s="44" t="inlineStr">
        <is>
          <t>Revolute Base</t>
        </is>
      </c>
      <c r="F5" s="45" t="n">
        <v>-1</v>
      </c>
      <c r="G5" s="54">
        <f>B5</f>
        <v/>
      </c>
      <c r="H5" s="55">
        <f>C5*(G5-B5)</f>
        <v/>
      </c>
      <c r="I5" s="56" t="n">
        <v>0</v>
      </c>
      <c r="J5" s="55">
        <f>B5+C5*I5</f>
        <v/>
      </c>
    </row>
    <row r="6" ht="43.5" customHeight="1" s="38">
      <c r="A6" s="44" t="inlineStr">
        <is>
          <t>J2 shoulder</t>
        </is>
      </c>
      <c r="B6" s="53">
        <f>Inputs!B13</f>
        <v/>
      </c>
      <c r="C6" s="53">
        <f>Inputs!B28</f>
        <v/>
      </c>
      <c r="D6" s="46" t="inlineStr">
        <is>
          <t>Upper arm tilts FORWARD (+X) from vertical</t>
        </is>
      </c>
      <c r="E6" s="44" t="inlineStr">
        <is>
          <t>Revolute Shoulder</t>
        </is>
      </c>
      <c r="F6" s="45" t="n">
        <v>-1</v>
      </c>
      <c r="G6" s="54">
        <f>B6</f>
        <v/>
      </c>
      <c r="H6" s="55">
        <f>C6*(G6-B6)</f>
        <v/>
      </c>
      <c r="I6" s="56" t="n">
        <v>0</v>
      </c>
      <c r="J6" s="55">
        <f>B6+C6*I6</f>
        <v/>
      </c>
    </row>
    <row r="7" ht="43.5" customHeight="1" s="38">
      <c r="A7" s="44" t="inlineStr">
        <is>
          <t>J3 elbow</t>
        </is>
      </c>
      <c r="B7" s="53">
        <f>Inputs!B14</f>
        <v/>
      </c>
      <c r="C7" s="53">
        <f>Inputs!B29</f>
        <v/>
      </c>
      <c r="D7" s="46" t="inlineStr">
        <is>
          <t>Forearm bends FORWARD (+X) relative to the upper arm</t>
        </is>
      </c>
      <c r="E7" s="44" t="inlineStr">
        <is>
          <t>Revolute Elbow</t>
        </is>
      </c>
      <c r="F7" s="45" t="n">
        <v>1</v>
      </c>
      <c r="G7" s="54">
        <f>B7</f>
        <v/>
      </c>
      <c r="H7" s="55">
        <f>C7*(G7-B7)</f>
        <v/>
      </c>
      <c r="I7" s="56" t="n">
        <v>0</v>
      </c>
      <c r="J7" s="55">
        <f>B7+C7*I7</f>
        <v/>
      </c>
    </row>
    <row r="8" ht="43.5" customHeight="1" s="38">
      <c r="A8" s="44" t="inlineStr">
        <is>
          <t>J4 wrist roll</t>
        </is>
      </c>
      <c r="B8" s="53">
        <f>Inputs!B15</f>
        <v/>
      </c>
      <c r="C8" s="53">
        <f>Inputs!B30</f>
        <v/>
      </c>
      <c r="D8" s="46" t="inlineStr">
        <is>
          <t>Right-hand rotation about the forearm axis (elbow→gripper): counter-clockwise seen from above when the arm is vertical</t>
        </is>
      </c>
      <c r="E8" s="44" t="inlineStr">
        <is>
          <t>Revolute Wrist Roll</t>
        </is>
      </c>
      <c r="F8" s="45" t="n">
        <v>-1</v>
      </c>
      <c r="G8" s="54">
        <f>B8</f>
        <v/>
      </c>
      <c r="H8" s="55">
        <f>C8*(G8-B8)</f>
        <v/>
      </c>
      <c r="I8" s="56" t="n">
        <v>0</v>
      </c>
      <c r="J8" s="55">
        <f>B8+C8*I8</f>
        <v/>
      </c>
    </row>
    <row r="9" ht="43.5" customHeight="1" s="38">
      <c r="A9" s="44" t="inlineStr">
        <is>
          <t>J5 wrist pitch</t>
        </is>
      </c>
      <c r="B9" s="53">
        <f>Inputs!B16</f>
        <v/>
      </c>
      <c r="C9" s="53">
        <f>Inputs!B31</f>
        <v/>
      </c>
      <c r="D9" s="46" t="inlineStr">
        <is>
          <t>Gripper tilts FORWARD (+X) relative to the forearm</t>
        </is>
      </c>
      <c r="E9" s="44" t="inlineStr">
        <is>
          <t>Revolute Wrist Pitch</t>
        </is>
      </c>
      <c r="F9" s="45" t="n">
        <v>-1</v>
      </c>
      <c r="G9" s="54">
        <f>B9</f>
        <v/>
      </c>
      <c r="H9" s="55">
        <f>C9*(G9-B9)</f>
        <v/>
      </c>
      <c r="I9" s="56" t="n">
        <v>0</v>
      </c>
      <c r="J9" s="55">
        <f>B9+C9*I9</f>
        <v/>
      </c>
    </row>
    <row r="11" ht="15" customHeight="1" s="38">
      <c r="A11" s="48" t="inlineStr">
        <is>
          <t>J6 gripper</t>
        </is>
      </c>
    </row>
    <row r="12" ht="30" customHeight="1" s="38">
      <c r="A12" s="40" t="inlineStr">
        <is>
          <t>Closed = 0°, startup/home = 40° (home only). Holding angle = 20° (Inputs!B19). The CAD gears are also at 20°, but that is separate CAD jaw geometry, not the holding measurement; the CAD jaw-pad gap ≈27.9 mm at the tips is not a seated block.</t>
        </is>
      </c>
    </row>
    <row r="14" ht="15" customHeight="1" s="38">
      <c r="A14" s="48" t="inlineStr">
        <is>
          <t>How to find each servo's sign on the real arm (1° physical check)</t>
        </is>
      </c>
    </row>
    <row r="15" ht="27.75" customHeight="1" s="38">
      <c r="A15" s="40" t="inlineStr">
        <is>
          <t>1. Move the arm to the candidate reference pose (servos 85/145/88/88/96) with the arm clear; do not force any joint.</t>
        </is>
      </c>
    </row>
    <row r="16" ht="27.75" customHeight="1" s="38">
      <c r="A16" s="40" t="inlineStr">
        <is>
          <t>2. Command ONE servo to reference + 1° or −1° as a small, slow physical move (use the calibration tool/firmware; this workbook does not command hardware). Watch which way that joint moves.</t>
        </is>
      </c>
    </row>
    <row r="17" ht="27.75" customHeight="1" s="38">
      <c r="A17" s="40" t="inlineStr">
        <is>
          <t>3. Compare with 'Meaning of + q' above. Same direction → +1; opposite → −1. Enter in Inputs!B27:B31, return to the reference, repeat. J5 is provisional: recheck at J4 = 88°.</t>
        </is>
      </c>
    </row>
    <row r="18" ht="27.75" customHeight="1" s="38">
      <c r="A18" s="40" t="inlineStr">
        <is>
          <t>4. Do not use IK values to test signs or command the arm. Recheck with a separate multipose physical measurement before trusting the zero and signs.</t>
        </is>
      </c>
    </row>
    <row r="20" ht="15" customHeight="1" s="38">
      <c r="A20" s="48" t="inlineStr">
        <is>
          <t>Zero-pose alignment (provisional – not validated by the height match)</t>
        </is>
      </c>
    </row>
    <row r="21" ht="30" customHeight="1" s="38">
      <c r="A21" s="40" t="inlineStr">
        <is>
          <t>• The candidate zero 85/145/88/88/96 is user-supplied. Alignment of the real arm to the CAD as-built pose is not independently verified.</t>
        </is>
      </c>
    </row>
    <row r="22" ht="30" customHeight="1" s="38">
      <c r="A22" s="40" t="inlineStr">
        <is>
          <t>• The measured 438.5 mm block-centre Z was used to construct the tool offset; the reference height therefore matches by construction, not by independent validation.</t>
        </is>
      </c>
    </row>
    <row r="23" ht="30" customHeight="1" s="38">
      <c r="A23" s="40" t="inlineStr">
        <is>
          <t>• CAD jaw-pad heights and the jaw-gap centreline describe CAD jaw geometry only. They are not a seated block centre and do not prove the real arm is vertical.</t>
        </is>
      </c>
    </row>
    <row r="24" ht="30" customHeight="1" s="38">
      <c r="A24" s="40" t="inlineStr">
        <is>
          <t>• Needs a multipose physical check: measure the tool position at several servo poses and compare with FK before calling the zero aligned.</t>
        </is>
      </c>
    </row>
  </sheetData>
  <mergeCells count="10">
    <mergeCell ref="A23:J23"/>
    <mergeCell ref="A22:J22"/>
    <mergeCell ref="A17:J17"/>
    <mergeCell ref="A18:J18"/>
    <mergeCell ref="A2:H2"/>
    <mergeCell ref="A21:J21"/>
    <mergeCell ref="A15:J15"/>
    <mergeCell ref="A12:J12"/>
    <mergeCell ref="A24:J24"/>
    <mergeCell ref="A16:J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52" customWidth="1" style="37" min="1" max="1"/>
    <col width="16" customWidth="1" style="37" min="2" max="2"/>
    <col width="14" customWidth="1" style="37" min="3" max="4"/>
    <col width="18" customWidth="1" style="37" min="5" max="5"/>
  </cols>
  <sheetData>
    <row r="1" ht="17.25" customHeight="1" s="38">
      <c r="A1" s="42" t="inlineStr">
        <is>
          <t>Forward kinematics: servo angles → tool point (robot frame)</t>
        </is>
      </c>
    </row>
    <row r="2" ht="48" customHeight="1" s="38">
      <c r="A2" s="40" t="inlineStr">
        <is>
          <t>Type the five servo angles in the yellow cells. Output is the block-centre/tool point in mm in the robot frame (origin = J1 axis on the floor, +X forward, +Y left, +Z up). Default inputs = the reference pose. Signs are the candidate model mapping; the validation row flags bad signs. The endpoint check uses the per-joint table on Inputs, not a generic 0–180° range.</t>
        </is>
      </c>
    </row>
    <row r="4" ht="26.25" customHeight="1" s="38">
      <c r="A4" s="43" t="inlineStr">
        <is>
          <t>Joint</t>
        </is>
      </c>
      <c r="B4" s="43" t="inlineStr">
        <is>
          <t>Servo angle (deg)</t>
        </is>
      </c>
      <c r="C4" s="43" t="inlineStr">
        <is>
          <t>q (deg)</t>
        </is>
      </c>
      <c r="D4" s="43" t="inlineStr">
        <is>
          <t>q (rad)</t>
        </is>
      </c>
      <c r="E4" s="43" t="inlineStr">
        <is>
          <t>Servo range check</t>
        </is>
      </c>
    </row>
    <row r="5" ht="15" customHeight="1" s="38">
      <c r="A5" s="44" t="inlineStr">
        <is>
          <t>J1 base yaw</t>
        </is>
      </c>
      <c r="B5" s="56" t="n">
        <v>85</v>
      </c>
      <c r="C5" s="55">
        <f>Inputs!B27*(B5-Inputs!B12)</f>
        <v/>
      </c>
      <c r="D5" s="57">
        <f>RADIANS(C5)</f>
        <v/>
      </c>
      <c r="E5" s="44">
        <f>IF(AND(B5&gt;=Inputs!$B$35,B5&lt;=Inputs!$C$35),"OK","OUT OF RANGE")</f>
        <v/>
      </c>
    </row>
    <row r="6" ht="15" customHeight="1" s="38">
      <c r="A6" s="44" t="inlineStr">
        <is>
          <t>J2 shoulder</t>
        </is>
      </c>
      <c r="B6" s="56" t="n">
        <v>145</v>
      </c>
      <c r="C6" s="55">
        <f>Inputs!B28*(B6-Inputs!B13)</f>
        <v/>
      </c>
      <c r="D6" s="57">
        <f>RADIANS(C6)</f>
        <v/>
      </c>
      <c r="E6" s="44">
        <f>IF(AND(B6&gt;=Inputs!$B$36,B6&lt;=Inputs!$C$36),"OK","OUT OF RANGE")</f>
        <v/>
      </c>
    </row>
    <row r="7" ht="15" customHeight="1" s="38">
      <c r="A7" s="44" t="inlineStr">
        <is>
          <t>J3 elbow</t>
        </is>
      </c>
      <c r="B7" s="56" t="n">
        <v>88</v>
      </c>
      <c r="C7" s="55">
        <f>Inputs!B29*(B7-Inputs!B14)</f>
        <v/>
      </c>
      <c r="D7" s="57">
        <f>RADIANS(C7)</f>
        <v/>
      </c>
      <c r="E7" s="44">
        <f>IF(AND(B7&gt;=Inputs!$B$37,B7&lt;=Inputs!$C$37),"OK","OUT OF RANGE")</f>
        <v/>
      </c>
    </row>
    <row r="8" ht="15" customHeight="1" s="38">
      <c r="A8" s="44" t="inlineStr">
        <is>
          <t>J4 wrist roll</t>
        </is>
      </c>
      <c r="B8" s="56" t="n">
        <v>88</v>
      </c>
      <c r="C8" s="55">
        <f>Inputs!B30*(B8-Inputs!B15)</f>
        <v/>
      </c>
      <c r="D8" s="57">
        <f>RADIANS(C8)</f>
        <v/>
      </c>
      <c r="E8" s="44">
        <f>IF(AND(B8&gt;=Inputs!$B$38,B8&lt;=Inputs!$C$38),"OK","OUT OF RANGE")</f>
        <v/>
      </c>
    </row>
    <row r="9" ht="15" customHeight="1" s="38">
      <c r="A9" s="44" t="inlineStr">
        <is>
          <t>J5 wrist pitch</t>
        </is>
      </c>
      <c r="B9" s="56" t="n">
        <v>96</v>
      </c>
      <c r="C9" s="55">
        <f>Inputs!B31*(B9-Inputs!B16)</f>
        <v/>
      </c>
      <c r="D9" s="57">
        <f>RADIANS(C9)</f>
        <v/>
      </c>
      <c r="E9" s="44">
        <f>IF(AND(B9&gt;=Inputs!$B$39,B9&lt;=Inputs!$C$39),"OK","OUT OF RANGE")</f>
        <v/>
      </c>
    </row>
    <row r="10" ht="30" customHeight="1" s="38">
      <c r="A10" s="37" t="inlineStr">
        <is>
          <t>Sign validation</t>
        </is>
      </c>
      <c r="B10" s="58">
        <f>IF(Inputs!$B$32="OK: signs are ±1","OK","INVALID: check Inputs!B27:B31")</f>
        <v/>
      </c>
      <c r="D10" s="37" t="inlineStr">
        <is>
          <t>Endpoint summary</t>
        </is>
      </c>
      <c r="E10" s="59">
        <f>IF(Inputs!$B$32&lt;&gt;"OK: signs are ±1","INVALID SIGNS; ","")&amp;IF(COUNTIF(E5:E9,"OK")&lt;5,"OUT OF RANGE ("&amp;COUNTIF(E5:E9,"OK")&amp;"/5); ","RANGES OK; ")&amp;"J2/J5 coupling "&amp;IF(AND(B6&lt;90,B9&lt;65),"VIOLATED","OK")</f>
        <v/>
      </c>
    </row>
    <row r="11" ht="15" customHeight="1" s="38">
      <c r="A11" s="48" t="inlineStr">
        <is>
          <t>Result</t>
        </is>
      </c>
    </row>
    <row r="12" ht="15" customHeight="1" s="38">
      <c r="A12" s="43" t="inlineStr">
        <is>
          <t>Point</t>
        </is>
      </c>
      <c r="B12" s="43" t="inlineStr">
        <is>
          <t>X (mm)</t>
        </is>
      </c>
      <c r="C12" s="43" t="inlineStr">
        <is>
          <t>Y (mm)</t>
        </is>
      </c>
      <c r="D12" s="43" t="inlineStr">
        <is>
          <t>Z (mm)</t>
        </is>
      </c>
    </row>
    <row r="13" ht="15" customHeight="1" s="38">
      <c r="A13" s="60" t="inlineStr">
        <is>
          <t>Tool point (TCP)</t>
        </is>
      </c>
      <c r="B13" s="58">
        <f>B33</f>
        <v/>
      </c>
      <c r="C13" s="58">
        <f>C33</f>
        <v/>
      </c>
      <c r="D13" s="58">
        <f>D33</f>
        <v/>
      </c>
    </row>
    <row r="14" ht="15" customHeight="1" s="38">
      <c r="A14" s="44" t="inlineStr">
        <is>
          <t>Wrist centre W</t>
        </is>
      </c>
      <c r="B14" s="55">
        <f>COS($D$5)*B37-SIN($D$5)*C37</f>
        <v/>
      </c>
      <c r="C14" s="55">
        <f>SIN($D$5)*B37+COS($D$5)*C37</f>
        <v/>
      </c>
      <c r="D14" s="55">
        <f>D37</f>
        <v/>
      </c>
    </row>
    <row r="15" ht="15" customHeight="1" s="38">
      <c r="A15" s="44" t="inlineStr">
        <is>
          <t>Elbow axis point E</t>
        </is>
      </c>
      <c r="B15" s="55">
        <f>COS($D$5)*B38-SIN($D$5)*C38</f>
        <v/>
      </c>
      <c r="C15" s="55">
        <f>SIN($D$5)*B38+COS($D$5)*C38</f>
        <v/>
      </c>
      <c r="D15" s="55">
        <f>D38</f>
        <v/>
      </c>
    </row>
    <row r="16" ht="15" customHeight="1" s="38">
      <c r="A16" s="44" t="inlineStr">
        <is>
          <t>Shoulder axis point S</t>
        </is>
      </c>
      <c r="B16" s="55">
        <f>COS($D$5)*Model_Params!B5-SIN($D$5)*Model_Params!C5</f>
        <v/>
      </c>
      <c r="C16" s="55">
        <f>SIN($D$5)*Model_Params!B5+COS($D$5)*Model_Params!C5</f>
        <v/>
      </c>
      <c r="D16" s="55">
        <f>Model_Params!D5</f>
        <v/>
      </c>
    </row>
    <row r="18" ht="15" customHeight="1" s="38">
      <c r="A18" s="43" t="inlineStr">
        <is>
          <t>Orientation</t>
        </is>
      </c>
      <c r="B18" s="43" t="inlineStr">
        <is>
          <t>X</t>
        </is>
      </c>
      <c r="C18" s="43" t="inlineStr">
        <is>
          <t>Y</t>
        </is>
      </c>
      <c r="D18" s="43" t="inlineStr">
        <is>
          <t>Z</t>
        </is>
      </c>
    </row>
    <row r="19" ht="15" customHeight="1" s="38">
      <c r="A19" s="44" t="inlineStr">
        <is>
          <t>Approach direction (tool +Z: where the jaws point)</t>
        </is>
      </c>
      <c r="B19" s="57">
        <f>COS($D$5)*B42-SIN($D$5)*C42</f>
        <v/>
      </c>
      <c r="C19" s="57">
        <f>SIN($D$5)*B42+COS($D$5)*C42</f>
        <v/>
      </c>
      <c r="D19" s="57">
        <f>D42</f>
        <v/>
      </c>
    </row>
    <row r="20" ht="15" customHeight="1" s="38">
      <c r="A20" s="44" t="inlineStr">
        <is>
          <t>Jaw-opening axis (tool +Y: across the 25 mm width)</t>
        </is>
      </c>
      <c r="B20" s="57">
        <f>COS($D$5)*B44-SIN($D$5)*C44</f>
        <v/>
      </c>
      <c r="C20" s="57">
        <f>SIN($D$5)*B44+COS($D$5)*C44</f>
        <v/>
      </c>
      <c r="D20" s="57">
        <f>D44</f>
        <v/>
      </c>
    </row>
    <row r="21" ht="15" customHeight="1" s="38">
      <c r="A21" s="44" t="inlineStr">
        <is>
          <t>Planar tool pitch φ = q2+q3+q5 (deg; valid only when q4 = 0)</t>
        </is>
      </c>
      <c r="B21" s="55">
        <f>IF(ABS(C8)&lt;0.000000001,C6+C7+C9,"Planar only: q4 must be 0")</f>
        <v/>
      </c>
    </row>
    <row r="25" ht="15" customHeight="1" s="38">
      <c r="A25" s="48" t="inlineStr">
        <is>
          <t>Calculation steps (all in mm / rad)</t>
        </is>
      </c>
    </row>
    <row r="26" ht="15" customHeight="1" s="38">
      <c r="A26" s="44" t="inlineStr">
        <is>
          <t>u = Ry(q5)·t</t>
        </is>
      </c>
      <c r="B26" s="50">
        <f>Model_Params!$B$11*COS($D$9)+Model_Params!$D$11*SIN($D$9)</f>
        <v/>
      </c>
      <c r="C26" s="50">
        <f>Model_Params!$C$11</f>
        <v/>
      </c>
      <c r="D26" s="50">
        <f>-Model_Params!$B$11*SIN($D$9)+Model_Params!$D$11*COS($D$9)</f>
        <v/>
      </c>
    </row>
    <row r="27" ht="15" customHeight="1" s="38">
      <c r="A27" s="44" t="inlineStr">
        <is>
          <t>v = Rz(q4)·u</t>
        </is>
      </c>
      <c r="B27" s="50">
        <f>COS($D$8)*B26-SIN($D$8)*C26</f>
        <v/>
      </c>
      <c r="C27" s="50">
        <f>SIN($D$8)*B26+COS($D$8)*C26</f>
        <v/>
      </c>
      <c r="D27" s="50">
        <f>D26</f>
        <v/>
      </c>
    </row>
    <row r="28" ht="15" customHeight="1" s="38">
      <c r="A28" s="44" t="inlineStr">
        <is>
          <t>w = v_EW + v</t>
        </is>
      </c>
      <c r="B28" s="50">
        <f>Model_Params!$B$10+B27</f>
        <v/>
      </c>
      <c r="C28" s="50">
        <f>Model_Params!$C$10+C27</f>
        <v/>
      </c>
      <c r="D28" s="50">
        <f>Model_Params!$D$10+D27</f>
        <v/>
      </c>
    </row>
    <row r="29" ht="15" customHeight="1" s="38">
      <c r="A29" s="44" t="inlineStr">
        <is>
          <t>q2+q3 (rad)</t>
        </is>
      </c>
      <c r="B29" s="50">
        <f>$D$6+$D$7</f>
        <v/>
      </c>
    </row>
    <row r="30" ht="15" customHeight="1" s="38">
      <c r="A30" s="44" t="inlineStr">
        <is>
          <t>Ry(q2+q3)·w</t>
        </is>
      </c>
      <c r="B30" s="50">
        <f>B28*COS(B29)+D28*SIN(B29)</f>
        <v/>
      </c>
      <c r="C30" s="50">
        <f>C28</f>
        <v/>
      </c>
      <c r="D30" s="50">
        <f>-B28*SIN(B29)+D28*COS(B29)</f>
        <v/>
      </c>
    </row>
    <row r="31" ht="15" customHeight="1" s="38">
      <c r="A31" s="44" t="inlineStr">
        <is>
          <t>Ry(q2)·v_SE</t>
        </is>
      </c>
      <c r="B31" s="50">
        <f>Model_Params!$B$9*COS($D$6)+Model_Params!$D$9*SIN($D$6)</f>
        <v/>
      </c>
      <c r="C31" s="50">
        <f>Model_Params!$C$9</f>
        <v/>
      </c>
      <c r="D31" s="50">
        <f>-Model_Params!$B$9*SIN($D$6)+Model_Params!$D$9*COS($D$6)</f>
        <v/>
      </c>
    </row>
    <row r="32" ht="15" customHeight="1" s="38">
      <c r="A32" s="44" t="inlineStr">
        <is>
          <t>p' = Ry(q23)·w + Ry(q2)·v_SE + S   (arm plane)</t>
        </is>
      </c>
      <c r="B32" s="50">
        <f>B30+B31+Model_Params!$B$5</f>
        <v/>
      </c>
      <c r="C32" s="50">
        <f>C30+C31+Model_Params!$C$5</f>
        <v/>
      </c>
      <c r="D32" s="50">
        <f>D30+D31+Model_Params!$D$5</f>
        <v/>
      </c>
    </row>
    <row r="33" ht="15" customHeight="1" s="38">
      <c r="A33" s="44" t="inlineStr">
        <is>
          <t>TCP = Rz(q1)·p'</t>
        </is>
      </c>
      <c r="B33" s="50">
        <f>COS($D$5)*B32-SIN($D$5)*C32</f>
        <v/>
      </c>
      <c r="C33" s="50">
        <f>SIN($D$5)*B32+COS($D$5)*C32</f>
        <v/>
      </c>
      <c r="D33" s="50">
        <f>D32</f>
        <v/>
      </c>
    </row>
    <row r="35" ht="15" customHeight="1" s="38">
      <c r="A35" s="48" t="inlineStr">
        <is>
          <t>Wrist-centre &amp; elbow helpers (arm plane)</t>
        </is>
      </c>
    </row>
    <row r="36" ht="15" customHeight="1" s="38">
      <c r="A36" s="44" t="inlineStr">
        <is>
          <t>Ry(q23)·v_EW</t>
        </is>
      </c>
      <c r="B36" s="50">
        <f>Model_Params!$B$10*COS(B29)+Model_Params!$D$10*SIN(B29)</f>
        <v/>
      </c>
      <c r="C36" s="50">
        <f>Model_Params!$C$10</f>
        <v/>
      </c>
      <c r="D36" s="50">
        <f>-Model_Params!$B$10*SIN(B29)+Model_Params!$D$10*COS(B29)</f>
        <v/>
      </c>
    </row>
    <row r="37" ht="15" customHeight="1" s="38">
      <c r="A37" s="44" t="inlineStr">
        <is>
          <t>W' = Ry(q23)·v_EW + Ry(q2)·v_SE + S</t>
        </is>
      </c>
      <c r="B37" s="50">
        <f>B36+B31+Model_Params!$B$5</f>
        <v/>
      </c>
      <c r="C37" s="50">
        <f>C36+C31+Model_Params!$C$5</f>
        <v/>
      </c>
      <c r="D37" s="50">
        <f>D36+D31+Model_Params!$D$5</f>
        <v/>
      </c>
    </row>
    <row r="38" ht="15" customHeight="1" s="38">
      <c r="A38" s="44" t="inlineStr">
        <is>
          <t>E' = Ry(q2)·v_SE + S</t>
        </is>
      </c>
      <c r="B38" s="50">
        <f>B31+Model_Params!$B$5</f>
        <v/>
      </c>
      <c r="C38" s="50">
        <f>C31+Model_Params!$C$5</f>
        <v/>
      </c>
      <c r="D38" s="50">
        <f>D31+Model_Params!$D$5</f>
        <v/>
      </c>
    </row>
    <row r="40" ht="15" customHeight="1" s="38">
      <c r="A40" s="48" t="inlineStr">
        <is>
          <t>Orientation steps</t>
        </is>
      </c>
    </row>
    <row r="41" ht="15" customHeight="1" s="38">
      <c r="A41" s="44" t="inlineStr">
        <is>
          <t>a0 = Rz(q4)·Ry(q5)·ẑ</t>
        </is>
      </c>
      <c r="B41" s="57">
        <f>COS($D$8)*SIN($D$9)</f>
        <v/>
      </c>
      <c r="C41" s="57">
        <f>SIN($D$8)*SIN($D$9)</f>
        <v/>
      </c>
      <c r="D41" s="57">
        <f>COS($D$9)</f>
        <v/>
      </c>
    </row>
    <row r="42" ht="15" customHeight="1" s="38">
      <c r="A42" s="44" t="inlineStr">
        <is>
          <t>a1 = Ry(q23)·a0</t>
        </is>
      </c>
      <c r="B42" s="57">
        <f>B41*COS(B29)+D41*SIN(B29)</f>
        <v/>
      </c>
      <c r="C42" s="57">
        <f>C41</f>
        <v/>
      </c>
      <c r="D42" s="57">
        <f>-B41*SIN(B29)+D41*COS(B29)</f>
        <v/>
      </c>
    </row>
    <row r="43" ht="15" customHeight="1" s="38">
      <c r="A43" s="44" t="inlineStr">
        <is>
          <t>b0 = Rz(q4)·ŷ</t>
        </is>
      </c>
      <c r="B43" s="57">
        <f>-SIN($D$8)</f>
        <v/>
      </c>
      <c r="C43" s="57">
        <f>COS($D$8)</f>
        <v/>
      </c>
      <c r="D43" s="57">
        <f>0</f>
        <v/>
      </c>
    </row>
    <row r="44" ht="15" customHeight="1" s="38">
      <c r="A44" s="44" t="inlineStr">
        <is>
          <t>b1 = Ry(q23)·b0</t>
        </is>
      </c>
      <c r="B44" s="57">
        <f>B43*COS(B29)+D43*SIN(B29)</f>
        <v/>
      </c>
      <c r="C44" s="57">
        <f>C43</f>
        <v/>
      </c>
      <c r="D44" s="57">
        <f>-B43*SIN(B29)+D43*COS(B29)</f>
        <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52" customWidth="1" style="37" min="1" max="1"/>
    <col width="16" customWidth="1" style="37" min="2" max="2"/>
    <col width="18" customWidth="1" style="37" min="3" max="3"/>
    <col width="50" customWidth="1" style="37" min="4" max="4"/>
  </cols>
  <sheetData>
    <row r="1" ht="17.25" customHeight="1" s="38">
      <c r="A1" s="42" t="inlineStr">
        <is>
          <t>Inverse kinematics: target tool point → servo angles (closed form, roll q4 = 0)</t>
        </is>
      </c>
    </row>
    <row r="2" ht="61.5" customHeight="1" s="38">
      <c r="A2" s="40" t="inlineStr">
        <is>
          <t>Enter the tool target in the robot frame and how the gripper should point. φ is the gripper's approach angle in the vertical arm plane: 0° = up, 90° = forward (+X), 180° = down. The ±1 switch picks the elbow solution. Roll is fixed at the reference (q4 = 0). The in-plane radial coordinate uses the positive square root only (x' ≥ 0); other radial/roll solutions are not enumerated. Defaults = a geometry example; with the current candidate signs the J2 endpoint is outside its installed range, and the endpoint check flags that without changing the target.</t>
        </is>
      </c>
    </row>
    <row r="4" ht="15" customHeight="1" s="38">
      <c r="A4" s="43" t="inlineStr">
        <is>
          <t>Input</t>
        </is>
      </c>
      <c r="B4" s="43" t="inlineStr">
        <is>
          <t>Value</t>
        </is>
      </c>
      <c r="C4" s="43" t="inlineStr">
        <is>
          <t>Unit</t>
        </is>
      </c>
      <c r="D4" s="43" t="inlineStr">
        <is>
          <t>Note</t>
        </is>
      </c>
    </row>
    <row r="5" ht="15" customHeight="1" s="38">
      <c r="A5" s="44" t="inlineStr">
        <is>
          <t>Target X</t>
        </is>
      </c>
      <c r="B5" s="56" t="n">
        <v>120</v>
      </c>
      <c r="C5" s="44" t="inlineStr">
        <is>
          <t>mm</t>
        </is>
      </c>
      <c r="D5" s="44" t="inlineStr">
        <is>
          <t>Robot frame, forward</t>
        </is>
      </c>
    </row>
    <row r="6" ht="15" customHeight="1" s="38">
      <c r="A6" s="44" t="inlineStr">
        <is>
          <t>Target Y</t>
        </is>
      </c>
      <c r="B6" s="56" t="n">
        <v>20</v>
      </c>
      <c r="C6" s="44" t="inlineStr">
        <is>
          <t>mm</t>
        </is>
      </c>
      <c r="D6" s="44" t="inlineStr">
        <is>
          <t>Robot frame, left</t>
        </is>
      </c>
    </row>
    <row r="7" ht="15" customHeight="1" s="38">
      <c r="A7" s="44" t="inlineStr">
        <is>
          <t>Target Z</t>
        </is>
      </c>
      <c r="B7" s="56" t="n">
        <v>300</v>
      </c>
      <c r="C7" s="44" t="inlineStr">
        <is>
          <t>mm</t>
        </is>
      </c>
      <c r="D7" s="44" t="inlineStr">
        <is>
          <t>Height above the floor / support plane</t>
        </is>
      </c>
    </row>
    <row r="8" ht="15" customHeight="1" s="38">
      <c r="A8" s="44" t="inlineStr">
        <is>
          <t>Approach pitch φ</t>
        </is>
      </c>
      <c r="B8" s="56" t="n">
        <v>90</v>
      </c>
      <c r="C8" s="44" t="inlineStr">
        <is>
          <t>deg</t>
        </is>
      </c>
      <c r="D8" s="44" t="inlineStr">
        <is>
          <t>0 = up, 90 = forward, 180 = straight down</t>
        </is>
      </c>
    </row>
    <row r="9" ht="15" customHeight="1" s="38">
      <c r="A9" s="44" t="inlineStr">
        <is>
          <t>Elbow branch (must be exactly +1 or −1)</t>
        </is>
      </c>
      <c r="B9" s="56" t="n">
        <v>1</v>
      </c>
      <c r="C9" s="44" t="n"/>
      <c r="D9" s="44" t="inlineStr">
        <is>
          <t>+1: q3 ≥ 0 (forearm bent forward);  −1: q3 ≤ 0. Branch signs only; the 0.01 mm shoulder lean makes the q3 = 0 split approximate, not exact.</t>
        </is>
      </c>
    </row>
    <row r="11" ht="15" customHeight="1" s="38">
      <c r="A11" s="60" t="inlineStr">
        <is>
          <t>Reachability status (geometry only)</t>
        </is>
      </c>
      <c r="B11" s="61">
        <f>IF(NOT(AND(ISNUMBER(B9),OR(B9=1,B9=-1))),"INVALID INPUT: elbow branch must be +1 or -1",IF(Inputs!$B$32&lt;&gt;"OK: signs are ±1","INVALID INPUT: servo signs on Inputs must be exactly +1 or -1",IF(B26&lt;ABS(B25),"OUT OF REACH: too close to the J1 axis",IF(ABS(B30)&gt;1,"OUT OF REACH: arm cannot span target","REACHABLE (geometry only)"))))</f>
        <v/>
      </c>
      <c r="C11" s="62" t="n"/>
      <c r="D11" s="63" t="n"/>
    </row>
    <row r="12" ht="45" customHeight="1" s="38">
      <c r="A12" s="60" t="inlineStr">
        <is>
          <t>Endpoint check (servo ranges + J2/J5 coupling)</t>
        </is>
      </c>
      <c r="B12" s="61">
        <f>IF($B$11&lt;&gt;"REACHABLE (geometry only)","not evaluated: IK is not reachable",IF(COUNTIF($D$14:$D$18,"OK")&lt;5,"OUTSIDE installed servo endpoints ("&amp;COUNTIF($D$14:$D$18,"OK")&amp;"/5 within range); J2/J5 coupling "&amp;IF(AND($C$15&lt;90,$C$18&lt;65),"VIOLATED","OK"),"Within installed servo endpoints; J2/J5 coupling "&amp;IF(AND($C$15&lt;90,$C$18&lt;65),"VIOLATED","OK")))</f>
        <v/>
      </c>
      <c r="D12" s="44" t="inlineStr">
        <is>
          <t>Endpoint check only: installed servo ranges plus J2&lt;90 requires J5≥65 (equivalently J5&lt;65 requires J2≥90; boundaries inclusive). Not a certified-safe workspace or automated collision check. Firmware motion retains commanded-state and pending-endpoint interlocks; physical path clearance still needs verification, and there is no automated collision guarantee.</t>
        </is>
      </c>
    </row>
    <row r="13" ht="15" customHeight="1" s="38">
      <c r="A13" s="43" t="inlineStr">
        <is>
          <t>Result</t>
        </is>
      </c>
      <c r="B13" s="43" t="inlineStr">
        <is>
          <t>q (deg)</t>
        </is>
      </c>
      <c r="C13" s="43" t="inlineStr">
        <is>
          <t>Servo angle (deg)</t>
        </is>
      </c>
      <c r="D13" s="43" t="inlineStr">
        <is>
          <t>Servo range check</t>
        </is>
      </c>
    </row>
    <row r="14" ht="15" customHeight="1" s="38">
      <c r="A14" s="60" t="inlineStr">
        <is>
          <t>J1 base yaw</t>
        </is>
      </c>
      <c r="B14" s="55">
        <f>IF($B$11&lt;&gt;"REACHABLE (geometry only)","",DEGREES(B33))</f>
        <v/>
      </c>
      <c r="C14" s="58">
        <f>IF($B$11&lt;&gt;"REACHABLE (geometry only)","",Inputs!B12+Inputs!B27*B14)</f>
        <v/>
      </c>
      <c r="D14" s="44">
        <f>IF($B$11&lt;&gt;"REACHABLE (geometry only)","",IF(AND(C14&gt;=Inputs!$B$35,C14&lt;=Inputs!$C$35),"OK","OUT OF RANGE"))</f>
        <v/>
      </c>
    </row>
    <row r="15" ht="15" customHeight="1" s="38">
      <c r="A15" s="60" t="inlineStr">
        <is>
          <t>J2 shoulder</t>
        </is>
      </c>
      <c r="B15" s="55">
        <f>IF($B$11&lt;&gt;"REACHABLE (geometry only)","",DEGREES(B34))</f>
        <v/>
      </c>
      <c r="C15" s="58">
        <f>IF($B$11&lt;&gt;"REACHABLE (geometry only)","",Inputs!B13+Inputs!B28*B15)</f>
        <v/>
      </c>
      <c r="D15" s="44">
        <f>IF($B$11&lt;&gt;"REACHABLE (geometry only)","",IF(AND(C15&gt;=Inputs!$B$36,C15&lt;=Inputs!$C$36),"OK","OUT OF RANGE"))</f>
        <v/>
      </c>
    </row>
    <row r="16" ht="15" customHeight="1" s="38">
      <c r="A16" s="60" t="inlineStr">
        <is>
          <t>J3 elbow</t>
        </is>
      </c>
      <c r="B16" s="55">
        <f>IF($B$11&lt;&gt;"REACHABLE (geometry only)","",DEGREES(B35))</f>
        <v/>
      </c>
      <c r="C16" s="58">
        <f>IF($B$11&lt;&gt;"REACHABLE (geometry only)","",Inputs!B14+Inputs!B29*B16)</f>
        <v/>
      </c>
      <c r="D16" s="44">
        <f>IF($B$11&lt;&gt;"REACHABLE (geometry only)","",IF(AND(C16&gt;=Inputs!$B$37,C16&lt;=Inputs!$C$37),"OK","OUT OF RANGE"))</f>
        <v/>
      </c>
    </row>
    <row r="17" ht="15" customHeight="1" s="38">
      <c r="A17" s="60" t="inlineStr">
        <is>
          <t>J4 wrist roll (fixed at reference)</t>
        </is>
      </c>
      <c r="B17" s="55" t="n">
        <v>0</v>
      </c>
      <c r="C17" s="58">
        <f>IF($B$11&lt;&gt;"REACHABLE (geometry only)","",Inputs!B15+Inputs!B30*B17)</f>
        <v/>
      </c>
      <c r="D17" s="44">
        <f>IF($B$11&lt;&gt;"REACHABLE (geometry only)","",IF(AND(C17&gt;=Inputs!$B$38,C17&lt;=Inputs!$C$38),"OK","OUT OF RANGE"))</f>
        <v/>
      </c>
    </row>
    <row r="18" ht="15" customHeight="1" s="38">
      <c r="A18" s="60" t="inlineStr">
        <is>
          <t>J5 wrist pitch</t>
        </is>
      </c>
      <c r="B18" s="55">
        <f>IF($B$11&lt;&gt;"REACHABLE (geometry only)","",DEGREES(B36))</f>
        <v/>
      </c>
      <c r="C18" s="58">
        <f>IF($B$11&lt;&gt;"REACHABLE (geometry only)","",Inputs!B16+Inputs!B31*B18)</f>
        <v/>
      </c>
      <c r="D18" s="44">
        <f>IF($B$11&lt;&gt;"REACHABLE (geometry only)","",IF(AND(C18&gt;=Inputs!$B$39,C18&lt;=Inputs!$C$39),"OK","OUT OF RANGE"))</f>
        <v/>
      </c>
    </row>
    <row r="21" ht="15" customHeight="1" s="38">
      <c r="A21" s="48" t="inlineStr">
        <is>
          <t>Calculation steps</t>
        </is>
      </c>
    </row>
    <row r="22" ht="15" customHeight="1" s="38">
      <c r="A22" s="44" t="inlineStr">
        <is>
          <t>φ (rad)</t>
        </is>
      </c>
      <c r="B22" s="57">
        <f>RADIANS(B8)</f>
        <v/>
      </c>
    </row>
    <row r="23" ht="15" customHeight="1" s="38">
      <c r="A23" s="44" t="inlineStr">
        <is>
          <t>o_x = tool offset along arm-plane X after pitch</t>
        </is>
      </c>
      <c r="B23" s="57">
        <f>Model_Params!B11*COS(B22)+Model_Params!D11*SIN(B22)</f>
        <v/>
      </c>
    </row>
    <row r="24" ht="15" customHeight="1" s="38">
      <c r="A24" s="44" t="inlineStr">
        <is>
          <t>o_z = tool offset along Z after pitch</t>
        </is>
      </c>
      <c r="B24" s="57">
        <f>-Model_Params!B11*SIN(B22)+Model_Params!D11*COS(B22)</f>
        <v/>
      </c>
    </row>
    <row r="25" ht="15" customHeight="1" s="38">
      <c r="A25" s="44" t="inlineStr">
        <is>
          <t>y_t = TCP sideways offset in the arm plane (mm)</t>
        </is>
      </c>
      <c r="B25" s="57">
        <f>Model_Params!C5+Model_Params!C11</f>
        <v/>
      </c>
    </row>
    <row r="26" ht="15" customHeight="1" s="38">
      <c r="A26" s="44" t="inlineStr">
        <is>
          <t>r = horizontal distance of target from J1 axis (mm)</t>
        </is>
      </c>
      <c r="B26" s="57">
        <f>SQRT(B5^2+B6^2)</f>
        <v/>
      </c>
    </row>
    <row r="27" ht="15" customHeight="1" s="38">
      <c r="A27" s="44" t="inlineStr">
        <is>
          <t>x' = in-plane radial coordinate of the target (mm)</t>
        </is>
      </c>
      <c r="B27" s="57">
        <f>IF(B26&lt;ABS(B25),0,SQRT(B26^2-B25^2))</f>
        <v/>
      </c>
    </row>
    <row r="28" ht="15" customHeight="1" s="38">
      <c r="A28" s="44" t="inlineStr">
        <is>
          <t>Δx = wrist-centre x − shoulder x (mm)</t>
        </is>
      </c>
      <c r="B28" s="57">
        <f>B27-B23-Model_Params!B5</f>
        <v/>
      </c>
    </row>
    <row r="29" ht="15" customHeight="1" s="38">
      <c r="A29" s="44" t="inlineStr">
        <is>
          <t>Δz = wrist-centre z − shoulder z (mm)</t>
        </is>
      </c>
      <c r="B29" s="57">
        <f>B7-B24-Model_Params!D5</f>
        <v/>
      </c>
    </row>
    <row r="30" ht="15" customHeight="1" s="38">
      <c r="A30" s="44" t="inlineStr">
        <is>
          <t>D = cos(elbow angle)</t>
        </is>
      </c>
      <c r="B30" s="57">
        <f>(B28^2+B29^2-Model_Params!B14^2-Model_Params!B15^2)/(2*Model_Params!B14*Model_Params!B15)</f>
        <v/>
      </c>
    </row>
    <row r="31" ht="15" customHeight="1" s="38">
      <c r="A31" s="44" t="inlineStr">
        <is>
          <t>γ = elbow angle between links (rad)</t>
        </is>
      </c>
      <c r="B31" s="57">
        <f>IF($B$11&lt;&gt;"REACHABLE (geometry only)","",B9*ACOS(B30))</f>
        <v/>
      </c>
    </row>
    <row r="32" ht="15" customHeight="1" s="38">
      <c r="A32" s="44" t="inlineStr">
        <is>
          <t>θ1 = upper-arm angle from vertical (rad)</t>
        </is>
      </c>
      <c r="B32" s="57">
        <f>ATAN2(B29,B28)-ATAN2(Model_Params!B14+Model_Params!B15*COS(B31),Model_Params!B15*SIN(B31))</f>
        <v/>
      </c>
    </row>
    <row r="33" ht="15" customHeight="1" s="38">
      <c r="A33" s="44" t="inlineStr">
        <is>
          <t>q1 (rad)</t>
        </is>
      </c>
      <c r="B33" s="57">
        <f>ATAN2(B5,B6)-ATAN2(B27,B25)</f>
        <v/>
      </c>
    </row>
    <row r="34" ht="15" customHeight="1" s="38">
      <c r="A34" s="44" t="inlineStr">
        <is>
          <t>q2 (rad)</t>
        </is>
      </c>
      <c r="B34" s="57">
        <f>B32-Model_Params!B16</f>
        <v/>
      </c>
    </row>
    <row r="35" ht="15" customHeight="1" s="38">
      <c r="A35" s="44" t="inlineStr">
        <is>
          <t>q3 (rad)</t>
        </is>
      </c>
      <c r="B35" s="57">
        <f>B31+Model_Params!B16</f>
        <v/>
      </c>
    </row>
    <row r="36" ht="15" customHeight="1" s="38">
      <c r="A36" s="44" t="inlineStr">
        <is>
          <t>q5 (rad)</t>
        </is>
      </c>
      <c r="B36" s="57">
        <f>B22-B34-B35</f>
        <v/>
      </c>
    </row>
    <row r="37" ht="15" customHeight="1" s="38">
      <c r="A37" s="44" t="inlineStr">
        <is>
          <t>q4 (rad) – fixed</t>
        </is>
      </c>
      <c r="B37" s="57">
        <f>0</f>
        <v/>
      </c>
    </row>
    <row r="39" ht="15" customHeight="1" s="38">
      <c r="A39" s="48" t="inlineStr">
        <is>
          <t>Round-trip check: run the IK result back through forward kinematics</t>
        </is>
      </c>
    </row>
    <row r="41" ht="15" customHeight="1" s="38">
      <c r="A41" s="44" t="inlineStr">
        <is>
          <t>u = Ry(q5)·t</t>
        </is>
      </c>
      <c r="B41" s="50">
        <f>Model_Params!$B$11*COS($B$36)+Model_Params!$D$11*SIN($B$36)</f>
        <v/>
      </c>
      <c r="C41" s="50">
        <f>Model_Params!$C$11</f>
        <v/>
      </c>
      <c r="D41" s="50">
        <f>-Model_Params!$B$11*SIN($B$36)+Model_Params!$D$11*COS($B$36)</f>
        <v/>
      </c>
    </row>
    <row r="42" ht="15" customHeight="1" s="38">
      <c r="A42" s="44" t="inlineStr">
        <is>
          <t>v = Rz(q4)·u</t>
        </is>
      </c>
      <c r="B42" s="50">
        <f>COS($B$37)*B41-SIN($B$37)*C41</f>
        <v/>
      </c>
      <c r="C42" s="50">
        <f>SIN($B$37)*B41+COS($B$37)*C41</f>
        <v/>
      </c>
      <c r="D42" s="50">
        <f>D41</f>
        <v/>
      </c>
    </row>
    <row r="43" ht="15" customHeight="1" s="38">
      <c r="A43" s="44" t="inlineStr">
        <is>
          <t>w = v_EW + v</t>
        </is>
      </c>
      <c r="B43" s="50">
        <f>Model_Params!$B$10+B42</f>
        <v/>
      </c>
      <c r="C43" s="50">
        <f>Model_Params!$C$10+C42</f>
        <v/>
      </c>
      <c r="D43" s="50">
        <f>Model_Params!$D$10+D42</f>
        <v/>
      </c>
    </row>
    <row r="44" ht="15" customHeight="1" s="38">
      <c r="A44" s="44" t="inlineStr">
        <is>
          <t>q2+q3 (rad)</t>
        </is>
      </c>
      <c r="B44" s="50">
        <f>$B$34+$B$35</f>
        <v/>
      </c>
    </row>
    <row r="45" ht="15" customHeight="1" s="38">
      <c r="A45" s="44" t="inlineStr">
        <is>
          <t>Ry(q2+q3)·w</t>
        </is>
      </c>
      <c r="B45" s="50">
        <f>B43*COS(B44)+D43*SIN(B44)</f>
        <v/>
      </c>
      <c r="C45" s="50">
        <f>C43</f>
        <v/>
      </c>
      <c r="D45" s="50">
        <f>-B43*SIN(B44)+D43*COS(B44)</f>
        <v/>
      </c>
    </row>
    <row r="46" ht="15" customHeight="1" s="38">
      <c r="A46" s="44" t="inlineStr">
        <is>
          <t>Ry(q2)·v_SE</t>
        </is>
      </c>
      <c r="B46" s="50">
        <f>Model_Params!$B$9*COS($B$34)+Model_Params!$D$9*SIN($B$34)</f>
        <v/>
      </c>
      <c r="C46" s="50">
        <f>Model_Params!$C$9</f>
        <v/>
      </c>
      <c r="D46" s="50">
        <f>-Model_Params!$B$9*SIN($B$34)+Model_Params!$D$9*COS($B$34)</f>
        <v/>
      </c>
    </row>
    <row r="47" ht="15" customHeight="1" s="38">
      <c r="A47" s="44" t="inlineStr">
        <is>
          <t>p' = Ry(q23)·w + Ry(q2)·v_SE + S   (arm plane)</t>
        </is>
      </c>
      <c r="B47" s="50">
        <f>B45+B46+Model_Params!$B$5</f>
        <v/>
      </c>
      <c r="C47" s="50">
        <f>C45+C46+Model_Params!$C$5</f>
        <v/>
      </c>
      <c r="D47" s="50">
        <f>D45+D46+Model_Params!$D$5</f>
        <v/>
      </c>
    </row>
    <row r="48" ht="15" customHeight="1" s="38">
      <c r="A48" s="44" t="inlineStr">
        <is>
          <t>TCP = Rz(q1)·p'</t>
        </is>
      </c>
      <c r="B48" s="50">
        <f>COS($B$33)*B47-SIN($B$33)*C47</f>
        <v/>
      </c>
      <c r="C48" s="50">
        <f>SIN($B$33)*B47+COS($B$33)*C47</f>
        <v/>
      </c>
      <c r="D48" s="50">
        <f>D47</f>
        <v/>
      </c>
    </row>
    <row r="50" ht="15" customHeight="1" s="38">
      <c r="A50" s="60" t="inlineStr">
        <is>
          <t>Round-trip error (mm) – should be ~0</t>
        </is>
      </c>
      <c r="B50" s="64">
        <f>IF($B$11&lt;&gt;"REACHABLE (geometry only)","",MAX(ABS(B48-B5),ABS(C48-B6),ABS(D48-B7)))</f>
        <v/>
      </c>
    </row>
  </sheetData>
  <mergeCells count="2">
    <mergeCell ref="A2:F2"/>
    <mergeCell ref="B11:D11"/>
  </mergeCells>
  <dataValidations count="1">
    <dataValidation sqref="B9" showDropDown="0" showInputMessage="0" showErrorMessage="1" allowBlank="0" errorTitle="Branch must be +1 or -1" error="Enter exactly +1 (q3 ≥ 0) or -1 (q3 ≤ 0)." type="list" errorStyle="stop" operator="between">
      <formula1>"1,-1"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G2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8359375" defaultRowHeight="15" zeroHeight="0" outlineLevelRow="0"/>
  <cols>
    <col width="24" customWidth="1" style="37" min="1" max="1"/>
    <col width="10" customWidth="1" style="37" min="2" max="6"/>
    <col width="11" customWidth="1" style="37" min="7" max="7"/>
    <col width="10" customWidth="1" style="37" min="8" max="9"/>
    <col width="11" customWidth="1" style="37" min="10" max="12"/>
    <col width="13" customWidth="1" style="37" min="13" max="14"/>
  </cols>
  <sheetData>
    <row r="1" ht="17.25" customHeight="1" s="38">
      <c r="A1" s="42" t="inlineStr">
        <is>
          <t>Test vectors from the Fusion model (ground truth for your code)</t>
        </is>
      </c>
    </row>
    <row r="2" ht="61.5" customHeight="1" s="38">
      <c r="A2" s="40" t="inlineStr">
        <is>
          <t>Each CAD value was obtained by posing the Fusion joints, reading the moved tool point, and restoring the joints. Model angles q follow the + definitions on Servo_Map (Fusion joint value = [−q1, −q2, +q3, −q4, −q5]). Tool point = Inputs TCP (10.15, 9.52, 438.5 at zero). Columns J–L are this workbook's FK; M is the largest difference. These are typed CAD readings, not hardware measurements. Rounding q to 0.01° can produce ≈0.028 mm in this model alone; any remaining CAD-vs-model difference is not explained here.</t>
        </is>
      </c>
    </row>
    <row r="3" ht="15" customHeight="1" s="38">
      <c r="P3" s="48" t="inlineStr">
        <is>
          <t>helper columns (FK steps, same equations as FK_Calculator)</t>
        </is>
      </c>
    </row>
    <row r="4" ht="26.25" customHeight="1" s="38">
      <c r="A4" s="43" t="inlineStr">
        <is>
          <t>Case</t>
        </is>
      </c>
      <c r="B4" s="43" t="inlineStr">
        <is>
          <t>q1 (deg)</t>
        </is>
      </c>
      <c r="C4" s="43" t="inlineStr">
        <is>
          <t>q2</t>
        </is>
      </c>
      <c r="D4" s="43" t="inlineStr">
        <is>
          <t>q3</t>
        </is>
      </c>
      <c r="E4" s="43" t="inlineStr">
        <is>
          <t>q4</t>
        </is>
      </c>
      <c r="F4" s="43" t="inlineStr">
        <is>
          <t>q5</t>
        </is>
      </c>
      <c r="G4" s="43" t="inlineStr">
        <is>
          <t>CAD X (mm)</t>
        </is>
      </c>
      <c r="H4" s="43" t="inlineStr">
        <is>
          <t>CAD Y</t>
        </is>
      </c>
      <c r="I4" s="43" t="inlineStr">
        <is>
          <t>CAD Z</t>
        </is>
      </c>
      <c r="J4" s="43" t="inlineStr">
        <is>
          <t>Sheet FK X</t>
        </is>
      </c>
      <c r="K4" s="43" t="inlineStr">
        <is>
          <t>Sheet FK Y</t>
        </is>
      </c>
      <c r="L4" s="43" t="inlineStr">
        <is>
          <t>Sheet FK Z</t>
        </is>
      </c>
      <c r="M4" s="43" t="inlineStr">
        <is>
          <t>Max |diff| (mm)</t>
        </is>
      </c>
      <c r="P4" s="43" t="inlineStr">
        <is>
          <t>q1 rad</t>
        </is>
      </c>
      <c r="Q4" s="43" t="inlineStr">
        <is>
          <t>q2 rad</t>
        </is>
      </c>
      <c r="R4" s="43" t="inlineStr">
        <is>
          <t>q3 rad</t>
        </is>
      </c>
      <c r="S4" s="43" t="inlineStr">
        <is>
          <t>q4 rad</t>
        </is>
      </c>
      <c r="T4" s="43" t="inlineStr">
        <is>
          <t>q5 rad</t>
        </is>
      </c>
      <c r="U4" s="43" t="inlineStr">
        <is>
          <t>u x</t>
        </is>
      </c>
      <c r="V4" s="43" t="inlineStr">
        <is>
          <t>u y</t>
        </is>
      </c>
      <c r="W4" s="43" t="inlineStr">
        <is>
          <t>u z</t>
        </is>
      </c>
      <c r="X4" s="43" t="inlineStr">
        <is>
          <t>v x</t>
        </is>
      </c>
      <c r="Y4" s="43" t="inlineStr">
        <is>
          <t>v y</t>
        </is>
      </c>
      <c r="Z4" s="43" t="inlineStr">
        <is>
          <t>v z</t>
        </is>
      </c>
      <c r="AA4" s="43" t="inlineStr">
        <is>
          <t>w x</t>
        </is>
      </c>
      <c r="AB4" s="43" t="inlineStr">
        <is>
          <t>w y</t>
        </is>
      </c>
      <c r="AC4" s="43" t="inlineStr">
        <is>
          <t>w z</t>
        </is>
      </c>
      <c r="AD4" s="43" t="inlineStr">
        <is>
          <t>q2+q3</t>
        </is>
      </c>
      <c r="AE4" s="43" t="inlineStr">
        <is>
          <t>p' x</t>
        </is>
      </c>
      <c r="AF4" s="43" t="inlineStr">
        <is>
          <t>p' y</t>
        </is>
      </c>
      <c r="AG4" s="43" t="inlineStr">
        <is>
          <t>p' z</t>
        </is>
      </c>
    </row>
    <row r="5" ht="15" customHeight="1" s="38">
      <c r="A5" s="44" t="inlineStr">
        <is>
          <t>Zero / reference pose</t>
        </is>
      </c>
      <c r="B5" s="65" t="n">
        <v>0</v>
      </c>
      <c r="C5" s="65" t="n">
        <v>0</v>
      </c>
      <c r="D5" s="65" t="n">
        <v>0</v>
      </c>
      <c r="E5" s="65" t="n">
        <v>0</v>
      </c>
      <c r="F5" s="65" t="n">
        <v>0</v>
      </c>
      <c r="G5" s="65" t="n">
        <v>10.15</v>
      </c>
      <c r="H5" s="65" t="n">
        <v>9.52</v>
      </c>
      <c r="I5" s="65" t="n">
        <v>438.5</v>
      </c>
      <c r="J5" s="55">
        <f>COS(P5)*AE5-SIN(P5)*AF5</f>
        <v/>
      </c>
      <c r="K5" s="55">
        <f>SIN(P5)*AE5+COS(P5)*AF5</f>
        <v/>
      </c>
      <c r="L5" s="55">
        <f>AG5</f>
        <v/>
      </c>
      <c r="M5" s="66">
        <f>MAX(ABS(J5-G5),ABS(K5-H5),ABS(L5-I5))</f>
        <v/>
      </c>
      <c r="P5" s="57">
        <f>RADIANS(B5)</f>
        <v/>
      </c>
      <c r="Q5" s="57">
        <f>RADIANS(C5)</f>
        <v/>
      </c>
      <c r="R5" s="57">
        <f>RADIANS(D5)</f>
        <v/>
      </c>
      <c r="S5" s="57">
        <f>RADIANS(E5)</f>
        <v/>
      </c>
      <c r="T5" s="57">
        <f>RADIANS(F5)</f>
        <v/>
      </c>
      <c r="U5" s="57">
        <f>Model_Params!$B$11*COS(T5)+Model_Params!$D$11*SIN(T5)</f>
        <v/>
      </c>
      <c r="V5" s="57">
        <f>Model_Params!$C$11</f>
        <v/>
      </c>
      <c r="W5" s="57">
        <f>-Model_Params!$B$11*SIN(T5)+Model_Params!$D$11*COS(T5)</f>
        <v/>
      </c>
      <c r="X5" s="57">
        <f>COS(S5)*U5-SIN(S5)*V5</f>
        <v/>
      </c>
      <c r="Y5" s="57">
        <f>SIN(S5)*U5+COS(S5)*V5</f>
        <v/>
      </c>
      <c r="Z5" s="57">
        <f>W5</f>
        <v/>
      </c>
      <c r="AA5" s="57">
        <f>Model_Params!$B$10+X5</f>
        <v/>
      </c>
      <c r="AB5" s="57">
        <f>Model_Params!$C$10+Y5</f>
        <v/>
      </c>
      <c r="AC5" s="57">
        <f>Model_Params!$D$10+Z5</f>
        <v/>
      </c>
      <c r="AD5" s="57">
        <f>Q5+R5</f>
        <v/>
      </c>
      <c r="AE5" s="57">
        <f>AA5*COS(AD5)+AC5*SIN(AD5)+(Model_Params!$B$9*COS(Q5)+Model_Params!$D$9*SIN(Q5))+Model_Params!$B$5</f>
        <v/>
      </c>
      <c r="AF5" s="57">
        <f>AB5+Model_Params!$C$9+Model_Params!$C$5</f>
        <v/>
      </c>
      <c r="AG5" s="57">
        <f>-AA5*SIN(AD5)+AC5*COS(AD5)+(-Model_Params!$B$9*SIN(Q5)+Model_Params!$D$9*COS(Q5))+Model_Params!$D$5</f>
        <v/>
      </c>
    </row>
    <row r="6" ht="15" customHeight="1" s="38">
      <c r="A6" s="44" t="inlineStr">
        <is>
          <t>J1 only: q1 = −30</t>
        </is>
      </c>
      <c r="B6" s="65" t="n">
        <v>-30</v>
      </c>
      <c r="C6" s="65" t="n">
        <v>0</v>
      </c>
      <c r="D6" s="65" t="n">
        <v>0</v>
      </c>
      <c r="E6" s="65" t="n">
        <v>0</v>
      </c>
      <c r="F6" s="65" t="n">
        <v>0</v>
      </c>
      <c r="G6" s="65" t="n">
        <v>13.55</v>
      </c>
      <c r="H6" s="65" t="n">
        <v>3.17</v>
      </c>
      <c r="I6" s="65" t="n">
        <v>438.5</v>
      </c>
      <c r="J6" s="55">
        <f>COS(P6)*AE6-SIN(P6)*AF6</f>
        <v/>
      </c>
      <c r="K6" s="55">
        <f>SIN(P6)*AE6+COS(P6)*AF6</f>
        <v/>
      </c>
      <c r="L6" s="55">
        <f>AG6</f>
        <v/>
      </c>
      <c r="M6" s="66">
        <f>MAX(ABS(J6-G6),ABS(K6-H6),ABS(L6-I6))</f>
        <v/>
      </c>
      <c r="P6" s="57">
        <f>RADIANS(B6)</f>
        <v/>
      </c>
      <c r="Q6" s="57">
        <f>RADIANS(C6)</f>
        <v/>
      </c>
      <c r="R6" s="57">
        <f>RADIANS(D6)</f>
        <v/>
      </c>
      <c r="S6" s="57">
        <f>RADIANS(E6)</f>
        <v/>
      </c>
      <c r="T6" s="57">
        <f>RADIANS(F6)</f>
        <v/>
      </c>
      <c r="U6" s="57">
        <f>Model_Params!$B$11*COS(T6)+Model_Params!$D$11*SIN(T6)</f>
        <v/>
      </c>
      <c r="V6" s="57">
        <f>Model_Params!$C$11</f>
        <v/>
      </c>
      <c r="W6" s="57">
        <f>-Model_Params!$B$11*SIN(T6)+Model_Params!$D$11*COS(T6)</f>
        <v/>
      </c>
      <c r="X6" s="57">
        <f>COS(S6)*U6-SIN(S6)*V6</f>
        <v/>
      </c>
      <c r="Y6" s="57">
        <f>SIN(S6)*U6+COS(S6)*V6</f>
        <v/>
      </c>
      <c r="Z6" s="57">
        <f>W6</f>
        <v/>
      </c>
      <c r="AA6" s="57">
        <f>Model_Params!$B$10+X6</f>
        <v/>
      </c>
      <c r="AB6" s="57">
        <f>Model_Params!$C$10+Y6</f>
        <v/>
      </c>
      <c r="AC6" s="57">
        <f>Model_Params!$D$10+Z6</f>
        <v/>
      </c>
      <c r="AD6" s="57">
        <f>Q6+R6</f>
        <v/>
      </c>
      <c r="AE6" s="57">
        <f>AA6*COS(AD6)+AC6*SIN(AD6)+(Model_Params!$B$9*COS(Q6)+Model_Params!$D$9*SIN(Q6))+Model_Params!$B$5</f>
        <v/>
      </c>
      <c r="AF6" s="57">
        <f>AB6+Model_Params!$C$9+Model_Params!$C$5</f>
        <v/>
      </c>
      <c r="AG6" s="57">
        <f>-AA6*SIN(AD6)+AC6*COS(AD6)+(-Model_Params!$B$9*SIN(Q6)+Model_Params!$D$9*COS(Q6))+Model_Params!$D$5</f>
        <v/>
      </c>
    </row>
    <row r="7" ht="15" customHeight="1" s="38">
      <c r="A7" s="44" t="inlineStr">
        <is>
          <t>J2 only: q2 = −30</t>
        </is>
      </c>
      <c r="B7" s="65" t="n">
        <v>0</v>
      </c>
      <c r="C7" s="65" t="n">
        <v>-30</v>
      </c>
      <c r="D7" s="65" t="n">
        <v>0</v>
      </c>
      <c r="E7" s="65" t="n">
        <v>0</v>
      </c>
      <c r="F7" s="65" t="n">
        <v>0</v>
      </c>
      <c r="G7" s="65" t="n">
        <v>-160.25</v>
      </c>
      <c r="H7" s="65" t="n">
        <v>9.52</v>
      </c>
      <c r="I7" s="65" t="n">
        <v>385.88</v>
      </c>
      <c r="J7" s="55">
        <f>COS(P7)*AE7-SIN(P7)*AF7</f>
        <v/>
      </c>
      <c r="K7" s="55">
        <f>SIN(P7)*AE7+COS(P7)*AF7</f>
        <v/>
      </c>
      <c r="L7" s="55">
        <f>AG7</f>
        <v/>
      </c>
      <c r="M7" s="66">
        <f>MAX(ABS(J7-G7),ABS(K7-H7),ABS(L7-I7))</f>
        <v/>
      </c>
      <c r="P7" s="57">
        <f>RADIANS(B7)</f>
        <v/>
      </c>
      <c r="Q7" s="57">
        <f>RADIANS(C7)</f>
        <v/>
      </c>
      <c r="R7" s="57">
        <f>RADIANS(D7)</f>
        <v/>
      </c>
      <c r="S7" s="57">
        <f>RADIANS(E7)</f>
        <v/>
      </c>
      <c r="T7" s="57">
        <f>RADIANS(F7)</f>
        <v/>
      </c>
      <c r="U7" s="57">
        <f>Model_Params!$B$11*COS(T7)+Model_Params!$D$11*SIN(T7)</f>
        <v/>
      </c>
      <c r="V7" s="57">
        <f>Model_Params!$C$11</f>
        <v/>
      </c>
      <c r="W7" s="57">
        <f>-Model_Params!$B$11*SIN(T7)+Model_Params!$D$11*COS(T7)</f>
        <v/>
      </c>
      <c r="X7" s="57">
        <f>COS(S7)*U7-SIN(S7)*V7</f>
        <v/>
      </c>
      <c r="Y7" s="57">
        <f>SIN(S7)*U7+COS(S7)*V7</f>
        <v/>
      </c>
      <c r="Z7" s="57">
        <f>W7</f>
        <v/>
      </c>
      <c r="AA7" s="57">
        <f>Model_Params!$B$10+X7</f>
        <v/>
      </c>
      <c r="AB7" s="57">
        <f>Model_Params!$C$10+Y7</f>
        <v/>
      </c>
      <c r="AC7" s="57">
        <f>Model_Params!$D$10+Z7</f>
        <v/>
      </c>
      <c r="AD7" s="57">
        <f>Q7+R7</f>
        <v/>
      </c>
      <c r="AE7" s="57">
        <f>AA7*COS(AD7)+AC7*SIN(AD7)+(Model_Params!$B$9*COS(Q7)+Model_Params!$D$9*SIN(Q7))+Model_Params!$B$5</f>
        <v/>
      </c>
      <c r="AF7" s="57">
        <f>AB7+Model_Params!$C$9+Model_Params!$C$5</f>
        <v/>
      </c>
      <c r="AG7" s="57">
        <f>-AA7*SIN(AD7)+AC7*COS(AD7)+(-Model_Params!$B$9*SIN(Q7)+Model_Params!$D$9*COS(Q7))+Model_Params!$D$5</f>
        <v/>
      </c>
    </row>
    <row r="8" ht="15" customHeight="1" s="38">
      <c r="A8" s="44" t="inlineStr">
        <is>
          <t>J3 only: q3 = +30</t>
        </is>
      </c>
      <c r="B8" s="65" t="n">
        <v>0</v>
      </c>
      <c r="C8" s="65" t="n">
        <v>0</v>
      </c>
      <c r="D8" s="65" t="n">
        <v>30</v>
      </c>
      <c r="E8" s="65" t="n">
        <v>0</v>
      </c>
      <c r="F8" s="65" t="n">
        <v>0</v>
      </c>
      <c r="G8" s="65" t="n">
        <v>127.47</v>
      </c>
      <c r="H8" s="65" t="n">
        <v>9.529999999999999</v>
      </c>
      <c r="I8" s="65" t="n">
        <v>414.03</v>
      </c>
      <c r="J8" s="55">
        <f>COS(P8)*AE8-SIN(P8)*AF8</f>
        <v/>
      </c>
      <c r="K8" s="55">
        <f>SIN(P8)*AE8+COS(P8)*AF8</f>
        <v/>
      </c>
      <c r="L8" s="55">
        <f>AG8</f>
        <v/>
      </c>
      <c r="M8" s="66">
        <f>MAX(ABS(J8-G8),ABS(K8-H8),ABS(L8-I8))</f>
        <v/>
      </c>
      <c r="P8" s="57">
        <f>RADIANS(B8)</f>
        <v/>
      </c>
      <c r="Q8" s="57">
        <f>RADIANS(C8)</f>
        <v/>
      </c>
      <c r="R8" s="57">
        <f>RADIANS(D8)</f>
        <v/>
      </c>
      <c r="S8" s="57">
        <f>RADIANS(E8)</f>
        <v/>
      </c>
      <c r="T8" s="57">
        <f>RADIANS(F8)</f>
        <v/>
      </c>
      <c r="U8" s="57">
        <f>Model_Params!$B$11*COS(T8)+Model_Params!$D$11*SIN(T8)</f>
        <v/>
      </c>
      <c r="V8" s="57">
        <f>Model_Params!$C$11</f>
        <v/>
      </c>
      <c r="W8" s="57">
        <f>-Model_Params!$B$11*SIN(T8)+Model_Params!$D$11*COS(T8)</f>
        <v/>
      </c>
      <c r="X8" s="57">
        <f>COS(S8)*U8-SIN(S8)*V8</f>
        <v/>
      </c>
      <c r="Y8" s="57">
        <f>SIN(S8)*U8+COS(S8)*V8</f>
        <v/>
      </c>
      <c r="Z8" s="57">
        <f>W8</f>
        <v/>
      </c>
      <c r="AA8" s="57">
        <f>Model_Params!$B$10+X8</f>
        <v/>
      </c>
      <c r="AB8" s="57">
        <f>Model_Params!$C$10+Y8</f>
        <v/>
      </c>
      <c r="AC8" s="57">
        <f>Model_Params!$D$10+Z8</f>
        <v/>
      </c>
      <c r="AD8" s="57">
        <f>Q8+R8</f>
        <v/>
      </c>
      <c r="AE8" s="57">
        <f>AA8*COS(AD8)+AC8*SIN(AD8)+(Model_Params!$B$9*COS(Q8)+Model_Params!$D$9*SIN(Q8))+Model_Params!$B$5</f>
        <v/>
      </c>
      <c r="AF8" s="57">
        <f>AB8+Model_Params!$C$9+Model_Params!$C$5</f>
        <v/>
      </c>
      <c r="AG8" s="57">
        <f>-AA8*SIN(AD8)+AC8*COS(AD8)+(-Model_Params!$B$9*SIN(Q8)+Model_Params!$D$9*COS(Q8))+Model_Params!$D$5</f>
        <v/>
      </c>
    </row>
    <row r="9" ht="15" customHeight="1" s="38">
      <c r="A9" s="44" t="inlineStr">
        <is>
          <t>J4 only: q4 = −30</t>
        </is>
      </c>
      <c r="B9" s="65" t="n">
        <v>0</v>
      </c>
      <c r="C9" s="65" t="n">
        <v>0</v>
      </c>
      <c r="D9" s="65" t="n">
        <v>0</v>
      </c>
      <c r="E9" s="65" t="n">
        <v>-30</v>
      </c>
      <c r="F9" s="65" t="n">
        <v>0</v>
      </c>
      <c r="G9" s="65" t="n">
        <v>9.029999999999999</v>
      </c>
      <c r="H9" s="65" t="n">
        <v>16.78</v>
      </c>
      <c r="I9" s="65" t="n">
        <v>438.5</v>
      </c>
      <c r="J9" s="55">
        <f>COS(P9)*AE9-SIN(P9)*AF9</f>
        <v/>
      </c>
      <c r="K9" s="55">
        <f>SIN(P9)*AE9+COS(P9)*AF9</f>
        <v/>
      </c>
      <c r="L9" s="55">
        <f>AG9</f>
        <v/>
      </c>
      <c r="M9" s="66">
        <f>MAX(ABS(J9-G9),ABS(K9-H9),ABS(L9-I9))</f>
        <v/>
      </c>
      <c r="P9" s="57">
        <f>RADIANS(B9)</f>
        <v/>
      </c>
      <c r="Q9" s="57">
        <f>RADIANS(C9)</f>
        <v/>
      </c>
      <c r="R9" s="57">
        <f>RADIANS(D9)</f>
        <v/>
      </c>
      <c r="S9" s="57">
        <f>RADIANS(E9)</f>
        <v/>
      </c>
      <c r="T9" s="57">
        <f>RADIANS(F9)</f>
        <v/>
      </c>
      <c r="U9" s="57">
        <f>Model_Params!$B$11*COS(T9)+Model_Params!$D$11*SIN(T9)</f>
        <v/>
      </c>
      <c r="V9" s="57">
        <f>Model_Params!$C$11</f>
        <v/>
      </c>
      <c r="W9" s="57">
        <f>-Model_Params!$B$11*SIN(T9)+Model_Params!$D$11*COS(T9)</f>
        <v/>
      </c>
      <c r="X9" s="57">
        <f>COS(S9)*U9-SIN(S9)*V9</f>
        <v/>
      </c>
      <c r="Y9" s="57">
        <f>SIN(S9)*U9+COS(S9)*V9</f>
        <v/>
      </c>
      <c r="Z9" s="57">
        <f>W9</f>
        <v/>
      </c>
      <c r="AA9" s="57">
        <f>Model_Params!$B$10+X9</f>
        <v/>
      </c>
      <c r="AB9" s="57">
        <f>Model_Params!$C$10+Y9</f>
        <v/>
      </c>
      <c r="AC9" s="57">
        <f>Model_Params!$D$10+Z9</f>
        <v/>
      </c>
      <c r="AD9" s="57">
        <f>Q9+R9</f>
        <v/>
      </c>
      <c r="AE9" s="57">
        <f>AA9*COS(AD9)+AC9*SIN(AD9)+(Model_Params!$B$9*COS(Q9)+Model_Params!$D$9*SIN(Q9))+Model_Params!$B$5</f>
        <v/>
      </c>
      <c r="AF9" s="57">
        <f>AB9+Model_Params!$C$9+Model_Params!$C$5</f>
        <v/>
      </c>
      <c r="AG9" s="57">
        <f>-AA9*SIN(AD9)+AC9*COS(AD9)+(-Model_Params!$B$9*SIN(Q9)+Model_Params!$D$9*COS(Q9))+Model_Params!$D$5</f>
        <v/>
      </c>
    </row>
    <row r="10" ht="15" customHeight="1" s="38">
      <c r="A10" s="44" t="inlineStr">
        <is>
          <t>J5 only: q5 = −30</t>
        </is>
      </c>
      <c r="B10" s="65" t="n">
        <v>0</v>
      </c>
      <c r="C10" s="65" t="n">
        <v>0</v>
      </c>
      <c r="D10" s="65" t="n">
        <v>0</v>
      </c>
      <c r="E10" s="65" t="n">
        <v>0</v>
      </c>
      <c r="F10" s="65" t="n">
        <v>-30</v>
      </c>
      <c r="G10" s="65" t="n">
        <v>-40.49</v>
      </c>
      <c r="H10" s="65" t="n">
        <v>9.52</v>
      </c>
      <c r="I10" s="65" t="n">
        <v>417.97</v>
      </c>
      <c r="J10" s="55">
        <f>COS(P10)*AE10-SIN(P10)*AF10</f>
        <v/>
      </c>
      <c r="K10" s="55">
        <f>SIN(P10)*AE10+COS(P10)*AF10</f>
        <v/>
      </c>
      <c r="L10" s="55">
        <f>AG10</f>
        <v/>
      </c>
      <c r="M10" s="66">
        <f>MAX(ABS(J10-G10),ABS(K10-H10),ABS(L10-I10))</f>
        <v/>
      </c>
      <c r="P10" s="57">
        <f>RADIANS(B10)</f>
        <v/>
      </c>
      <c r="Q10" s="57">
        <f>RADIANS(C10)</f>
        <v/>
      </c>
      <c r="R10" s="57">
        <f>RADIANS(D10)</f>
        <v/>
      </c>
      <c r="S10" s="57">
        <f>RADIANS(E10)</f>
        <v/>
      </c>
      <c r="T10" s="57">
        <f>RADIANS(F10)</f>
        <v/>
      </c>
      <c r="U10" s="57">
        <f>Model_Params!$B$11*COS(T10)+Model_Params!$D$11*SIN(T10)</f>
        <v/>
      </c>
      <c r="V10" s="57">
        <f>Model_Params!$C$11</f>
        <v/>
      </c>
      <c r="W10" s="57">
        <f>-Model_Params!$B$11*SIN(T10)+Model_Params!$D$11*COS(T10)</f>
        <v/>
      </c>
      <c r="X10" s="57">
        <f>COS(S10)*U10-SIN(S10)*V10</f>
        <v/>
      </c>
      <c r="Y10" s="57">
        <f>SIN(S10)*U10+COS(S10)*V10</f>
        <v/>
      </c>
      <c r="Z10" s="57">
        <f>W10</f>
        <v/>
      </c>
      <c r="AA10" s="57">
        <f>Model_Params!$B$10+X10</f>
        <v/>
      </c>
      <c r="AB10" s="57">
        <f>Model_Params!$C$10+Y10</f>
        <v/>
      </c>
      <c r="AC10" s="57">
        <f>Model_Params!$D$10+Z10</f>
        <v/>
      </c>
      <c r="AD10" s="57">
        <f>Q10+R10</f>
        <v/>
      </c>
      <c r="AE10" s="57">
        <f>AA10*COS(AD10)+AC10*SIN(AD10)+(Model_Params!$B$9*COS(Q10)+Model_Params!$D$9*SIN(Q10))+Model_Params!$B$5</f>
        <v/>
      </c>
      <c r="AF10" s="57">
        <f>AB10+Model_Params!$C$9+Model_Params!$C$5</f>
        <v/>
      </c>
      <c r="AG10" s="57">
        <f>-AA10*SIN(AD10)+AC10*COS(AD10)+(-Model_Params!$B$9*SIN(Q10)+Model_Params!$D$9*COS(Q10))+Model_Params!$D$5</f>
        <v/>
      </c>
    </row>
    <row r="11" ht="15" customHeight="1" s="38">
      <c r="A11" s="44" t="inlineStr">
        <is>
          <t>Combined 1</t>
        </is>
      </c>
      <c r="B11" s="65" t="n">
        <v>20</v>
      </c>
      <c r="C11" s="65" t="n">
        <v>25</v>
      </c>
      <c r="D11" s="65" t="n">
        <v>-40</v>
      </c>
      <c r="E11" s="65" t="n">
        <v>35</v>
      </c>
      <c r="F11" s="65" t="n">
        <v>30</v>
      </c>
      <c r="G11" s="65" t="n">
        <v>34.17</v>
      </c>
      <c r="H11" s="65" t="n">
        <v>48.76</v>
      </c>
      <c r="I11" s="65" t="n">
        <v>422.31</v>
      </c>
      <c r="J11" s="55">
        <f>COS(P11)*AE11-SIN(P11)*AF11</f>
        <v/>
      </c>
      <c r="K11" s="55">
        <f>SIN(P11)*AE11+COS(P11)*AF11</f>
        <v/>
      </c>
      <c r="L11" s="55">
        <f>AG11</f>
        <v/>
      </c>
      <c r="M11" s="66">
        <f>MAX(ABS(J11-G11),ABS(K11-H11),ABS(L11-I11))</f>
        <v/>
      </c>
      <c r="P11" s="57">
        <f>RADIANS(B11)</f>
        <v/>
      </c>
      <c r="Q11" s="57">
        <f>RADIANS(C11)</f>
        <v/>
      </c>
      <c r="R11" s="57">
        <f>RADIANS(D11)</f>
        <v/>
      </c>
      <c r="S11" s="57">
        <f>RADIANS(E11)</f>
        <v/>
      </c>
      <c r="T11" s="57">
        <f>RADIANS(F11)</f>
        <v/>
      </c>
      <c r="U11" s="57">
        <f>Model_Params!$B$11*COS(T11)+Model_Params!$D$11*SIN(T11)</f>
        <v/>
      </c>
      <c r="V11" s="57">
        <f>Model_Params!$C$11</f>
        <v/>
      </c>
      <c r="W11" s="57">
        <f>-Model_Params!$B$11*SIN(T11)+Model_Params!$D$11*COS(T11)</f>
        <v/>
      </c>
      <c r="X11" s="57">
        <f>COS(S11)*U11-SIN(S11)*V11</f>
        <v/>
      </c>
      <c r="Y11" s="57">
        <f>SIN(S11)*U11+COS(S11)*V11</f>
        <v/>
      </c>
      <c r="Z11" s="57">
        <f>W11</f>
        <v/>
      </c>
      <c r="AA11" s="57">
        <f>Model_Params!$B$10+X11</f>
        <v/>
      </c>
      <c r="AB11" s="57">
        <f>Model_Params!$C$10+Y11</f>
        <v/>
      </c>
      <c r="AC11" s="57">
        <f>Model_Params!$D$10+Z11</f>
        <v/>
      </c>
      <c r="AD11" s="57">
        <f>Q11+R11</f>
        <v/>
      </c>
      <c r="AE11" s="57">
        <f>AA11*COS(AD11)+AC11*SIN(AD11)+(Model_Params!$B$9*COS(Q11)+Model_Params!$D$9*SIN(Q11))+Model_Params!$B$5</f>
        <v/>
      </c>
      <c r="AF11" s="57">
        <f>AB11+Model_Params!$C$9+Model_Params!$C$5</f>
        <v/>
      </c>
      <c r="AG11" s="57">
        <f>-AA11*SIN(AD11)+AC11*COS(AD11)+(-Model_Params!$B$9*SIN(Q11)+Model_Params!$D$9*COS(Q11))+Model_Params!$D$5</f>
        <v/>
      </c>
    </row>
    <row r="12" ht="15" customHeight="1" s="38">
      <c r="A12" s="44" t="inlineStr">
        <is>
          <t>Combined 2</t>
        </is>
      </c>
      <c r="B12" s="65" t="n">
        <v>-50</v>
      </c>
      <c r="C12" s="65" t="n">
        <v>60</v>
      </c>
      <c r="D12" s="65" t="n">
        <v>45</v>
      </c>
      <c r="E12" s="65" t="n">
        <v>-70</v>
      </c>
      <c r="F12" s="65" t="n">
        <v>-25</v>
      </c>
      <c r="G12" s="65" t="n">
        <v>266.49</v>
      </c>
      <c r="H12" s="65" t="n">
        <v>-214.96</v>
      </c>
      <c r="I12" s="65" t="n">
        <v>118.63</v>
      </c>
      <c r="J12" s="55">
        <f>COS(P12)*AE12-SIN(P12)*AF12</f>
        <v/>
      </c>
      <c r="K12" s="55">
        <f>SIN(P12)*AE12+COS(P12)*AF12</f>
        <v/>
      </c>
      <c r="L12" s="55">
        <f>AG12</f>
        <v/>
      </c>
      <c r="M12" s="66">
        <f>MAX(ABS(J12-G12),ABS(K12-H12),ABS(L12-I12))</f>
        <v/>
      </c>
      <c r="P12" s="57">
        <f>RADIANS(B12)</f>
        <v/>
      </c>
      <c r="Q12" s="57">
        <f>RADIANS(C12)</f>
        <v/>
      </c>
      <c r="R12" s="57">
        <f>RADIANS(D12)</f>
        <v/>
      </c>
      <c r="S12" s="57">
        <f>RADIANS(E12)</f>
        <v/>
      </c>
      <c r="T12" s="57">
        <f>RADIANS(F12)</f>
        <v/>
      </c>
      <c r="U12" s="57">
        <f>Model_Params!$B$11*COS(T12)+Model_Params!$D$11*SIN(T12)</f>
        <v/>
      </c>
      <c r="V12" s="57">
        <f>Model_Params!$C$11</f>
        <v/>
      </c>
      <c r="W12" s="57">
        <f>-Model_Params!$B$11*SIN(T12)+Model_Params!$D$11*COS(T12)</f>
        <v/>
      </c>
      <c r="X12" s="57">
        <f>COS(S12)*U12-SIN(S12)*V12</f>
        <v/>
      </c>
      <c r="Y12" s="57">
        <f>SIN(S12)*U12+COS(S12)*V12</f>
        <v/>
      </c>
      <c r="Z12" s="57">
        <f>W12</f>
        <v/>
      </c>
      <c r="AA12" s="57">
        <f>Model_Params!$B$10+X12</f>
        <v/>
      </c>
      <c r="AB12" s="57">
        <f>Model_Params!$C$10+Y12</f>
        <v/>
      </c>
      <c r="AC12" s="57">
        <f>Model_Params!$D$10+Z12</f>
        <v/>
      </c>
      <c r="AD12" s="57">
        <f>Q12+R12</f>
        <v/>
      </c>
      <c r="AE12" s="57">
        <f>AA12*COS(AD12)+AC12*SIN(AD12)+(Model_Params!$B$9*COS(Q12)+Model_Params!$D$9*SIN(Q12))+Model_Params!$B$5</f>
        <v/>
      </c>
      <c r="AF12" s="57">
        <f>AB12+Model_Params!$C$9+Model_Params!$C$5</f>
        <v/>
      </c>
      <c r="AG12" s="57">
        <f>-AA12*SIN(AD12)+AC12*COS(AD12)+(-Model_Params!$B$9*SIN(Q12)+Model_Params!$D$9*COS(Q12))+Model_Params!$D$5</f>
        <v/>
      </c>
    </row>
    <row r="13" ht="15" customHeight="1" s="38">
      <c r="A13" s="44" t="inlineStr">
        <is>
          <t>Combined 3</t>
        </is>
      </c>
      <c r="B13" s="65" t="n">
        <v>110</v>
      </c>
      <c r="C13" s="65" t="n">
        <v>-15</v>
      </c>
      <c r="D13" s="65" t="n">
        <v>80</v>
      </c>
      <c r="E13" s="65" t="n">
        <v>150</v>
      </c>
      <c r="F13" s="65" t="n">
        <v>95</v>
      </c>
      <c r="G13" s="65" t="n">
        <v>-94.04000000000001</v>
      </c>
      <c r="H13" s="65" t="n">
        <v>45.03</v>
      </c>
      <c r="I13" s="65" t="n">
        <v>338.71</v>
      </c>
      <c r="J13" s="55">
        <f>COS(P13)*AE13-SIN(P13)*AF13</f>
        <v/>
      </c>
      <c r="K13" s="55">
        <f>SIN(P13)*AE13+COS(P13)*AF13</f>
        <v/>
      </c>
      <c r="L13" s="55">
        <f>AG13</f>
        <v/>
      </c>
      <c r="M13" s="66">
        <f>MAX(ABS(J13-G13),ABS(K13-H13),ABS(L13-I13))</f>
        <v/>
      </c>
      <c r="P13" s="57">
        <f>RADIANS(B13)</f>
        <v/>
      </c>
      <c r="Q13" s="57">
        <f>RADIANS(C13)</f>
        <v/>
      </c>
      <c r="R13" s="57">
        <f>RADIANS(D13)</f>
        <v/>
      </c>
      <c r="S13" s="57">
        <f>RADIANS(E13)</f>
        <v/>
      </c>
      <c r="T13" s="57">
        <f>RADIANS(F13)</f>
        <v/>
      </c>
      <c r="U13" s="57">
        <f>Model_Params!$B$11*COS(T13)+Model_Params!$D$11*SIN(T13)</f>
        <v/>
      </c>
      <c r="V13" s="57">
        <f>Model_Params!$C$11</f>
        <v/>
      </c>
      <c r="W13" s="57">
        <f>-Model_Params!$B$11*SIN(T13)+Model_Params!$D$11*COS(T13)</f>
        <v/>
      </c>
      <c r="X13" s="57">
        <f>COS(S13)*U13-SIN(S13)*V13</f>
        <v/>
      </c>
      <c r="Y13" s="57">
        <f>SIN(S13)*U13+COS(S13)*V13</f>
        <v/>
      </c>
      <c r="Z13" s="57">
        <f>W13</f>
        <v/>
      </c>
      <c r="AA13" s="57">
        <f>Model_Params!$B$10+X13</f>
        <v/>
      </c>
      <c r="AB13" s="57">
        <f>Model_Params!$C$10+Y13</f>
        <v/>
      </c>
      <c r="AC13" s="57">
        <f>Model_Params!$D$10+Z13</f>
        <v/>
      </c>
      <c r="AD13" s="57">
        <f>Q13+R13</f>
        <v/>
      </c>
      <c r="AE13" s="57">
        <f>AA13*COS(AD13)+AC13*SIN(AD13)+(Model_Params!$B$9*COS(Q13)+Model_Params!$D$9*SIN(Q13))+Model_Params!$B$5</f>
        <v/>
      </c>
      <c r="AF13" s="57">
        <f>AB13+Model_Params!$C$9+Model_Params!$C$5</f>
        <v/>
      </c>
      <c r="AG13" s="57">
        <f>-AA13*SIN(AD13)+AC13*COS(AD13)+(-Model_Params!$B$9*SIN(Q13)+Model_Params!$D$9*COS(Q13))+Model_Params!$D$5</f>
        <v/>
      </c>
    </row>
    <row r="14" ht="15" customHeight="1" s="38">
      <c r="M14" s="67" t="n"/>
    </row>
    <row r="15" ht="15" customHeight="1" s="38">
      <c r="A15" s="60" t="inlineStr">
        <is>
          <t>Worst difference over all 9 typed-CAD FK cases (mm)</t>
        </is>
      </c>
      <c r="M15" s="66">
        <f>MAX(M5:M13)</f>
        <v/>
      </c>
    </row>
    <row r="17" ht="15" customHeight="1" s="38">
      <c r="A17" s="48" t="inlineStr">
        <is>
          <t>IK cases checked in the CAD (poses set from the IK output, angles rounded to 0.01°, then the CAD tool point read back; typed CAD, not hardware proof)</t>
        </is>
      </c>
    </row>
    <row r="18" ht="26.25" customHeight="1" s="38">
      <c r="A18" s="43" t="inlineStr">
        <is>
          <t>Case</t>
        </is>
      </c>
      <c r="B18" s="43" t="inlineStr">
        <is>
          <t>Target X</t>
        </is>
      </c>
      <c r="C18" s="43" t="inlineStr">
        <is>
          <t>Target Y</t>
        </is>
      </c>
      <c r="D18" s="43" t="inlineStr">
        <is>
          <t>Target Z</t>
        </is>
      </c>
      <c r="E18" s="43" t="inlineStr">
        <is>
          <t>φ (deg)</t>
        </is>
      </c>
      <c r="F18" s="43" t="inlineStr">
        <is>
          <t>Elbow branch</t>
        </is>
      </c>
      <c r="G18" s="43" t="inlineStr">
        <is>
          <t>q1 (deg)</t>
        </is>
      </c>
      <c r="H18" s="43" t="inlineStr">
        <is>
          <t>q2</t>
        </is>
      </c>
      <c r="I18" s="43" t="inlineStr">
        <is>
          <t>q3</t>
        </is>
      </c>
      <c r="J18" s="43" t="inlineStr">
        <is>
          <t>q5 (q4 = 0)</t>
        </is>
      </c>
      <c r="K18" s="43" t="inlineStr">
        <is>
          <t>CAD tool X</t>
        </is>
      </c>
      <c r="L18" s="43" t="inlineStr">
        <is>
          <t>CAD tool Y</t>
        </is>
      </c>
      <c r="M18" s="43" t="inlineStr">
        <is>
          <t>CAD tool Z</t>
        </is>
      </c>
      <c r="N18" s="43" t="inlineStr">
        <is>
          <t>Max error (mm)</t>
        </is>
      </c>
    </row>
    <row r="19" ht="15" customHeight="1" s="38">
      <c r="A19" s="44" t="inlineStr">
        <is>
          <t>IK 1 (branch +1)</t>
        </is>
      </c>
      <c r="B19" s="65" t="n">
        <v>180</v>
      </c>
      <c r="C19" s="65" t="n">
        <v>30</v>
      </c>
      <c r="D19" s="65" t="n">
        <v>100</v>
      </c>
      <c r="E19" s="65" t="n">
        <v>180</v>
      </c>
      <c r="F19" s="65" t="n">
        <v>1</v>
      </c>
      <c r="G19" s="65" t="n">
        <v>6.47</v>
      </c>
      <c r="H19" s="65" t="n">
        <v>10.03</v>
      </c>
      <c r="I19" s="65" t="n">
        <v>80.34999999999999</v>
      </c>
      <c r="J19" s="65" t="n">
        <v>89.61</v>
      </c>
      <c r="K19" s="65" t="n">
        <v>179.92</v>
      </c>
      <c r="L19" s="65" t="n">
        <v>30.08</v>
      </c>
      <c r="M19" s="65" t="n">
        <v>99.98</v>
      </c>
      <c r="N19" s="58">
        <f>MAX(ABS(K19-B19),ABS(L19-C19),ABS(M19-D19))</f>
        <v/>
      </c>
    </row>
    <row r="20" ht="15" customHeight="1" s="38">
      <c r="A20" s="44" t="inlineStr">
        <is>
          <t>IK 2 (branch −1)</t>
        </is>
      </c>
      <c r="B20" s="65" t="n">
        <v>180</v>
      </c>
      <c r="C20" s="65" t="n">
        <v>30</v>
      </c>
      <c r="D20" s="65" t="n">
        <v>100</v>
      </c>
      <c r="E20" s="65" t="n">
        <v>180</v>
      </c>
      <c r="F20" s="65" t="n">
        <v>-1</v>
      </c>
      <c r="G20" s="65" t="n">
        <v>6.47</v>
      </c>
      <c r="H20" s="65" t="n">
        <v>95.75</v>
      </c>
      <c r="I20" s="65" t="n">
        <v>-80.36</v>
      </c>
      <c r="J20" s="65" t="n">
        <v>164.61</v>
      </c>
      <c r="K20" s="65" t="n">
        <v>179.99</v>
      </c>
      <c r="L20" s="65" t="n">
        <v>30.09</v>
      </c>
      <c r="M20" s="65" t="n">
        <v>99.90000000000001</v>
      </c>
      <c r="N20" s="58">
        <f>MAX(ABS(K20-B20),ABS(L20-C20),ABS(M20-D20))</f>
        <v/>
      </c>
    </row>
    <row r="21" ht="15" customHeight="1" s="38">
      <c r="A21" s="44" t="inlineStr">
        <is>
          <t>IK 3</t>
        </is>
      </c>
      <c r="B21" s="65" t="n">
        <v>150</v>
      </c>
      <c r="C21" s="65" t="n">
        <v>-40</v>
      </c>
      <c r="D21" s="65" t="n">
        <v>200</v>
      </c>
      <c r="E21" s="65" t="n">
        <v>120</v>
      </c>
      <c r="F21" s="65" t="n">
        <v>1</v>
      </c>
      <c r="G21" s="65" t="n">
        <v>-18.45</v>
      </c>
      <c r="H21" s="65" t="n">
        <v>-41.72</v>
      </c>
      <c r="I21" s="65" t="n">
        <v>102.1</v>
      </c>
      <c r="J21" s="65" t="n">
        <v>59.63</v>
      </c>
      <c r="K21" s="65" t="n">
        <v>150.03</v>
      </c>
      <c r="L21" s="65" t="n">
        <v>-40.15</v>
      </c>
      <c r="M21" s="65" t="n">
        <v>199.98</v>
      </c>
      <c r="N21" s="58">
        <f>MAX(ABS(K21-B21),ABS(L21-C21),ABS(M21-D21))</f>
        <v/>
      </c>
    </row>
    <row r="22" ht="15" customHeight="1" s="38">
      <c r="A22" s="44" t="inlineStr">
        <is>
          <t>IK 4</t>
        </is>
      </c>
      <c r="B22" s="65" t="n">
        <v>100</v>
      </c>
      <c r="C22" s="65" t="n">
        <v>0</v>
      </c>
      <c r="D22" s="65" t="n">
        <v>300</v>
      </c>
      <c r="E22" s="65" t="n">
        <v>90</v>
      </c>
      <c r="F22" s="65" t="n">
        <v>1</v>
      </c>
      <c r="G22" s="65" t="n">
        <v>-5.46</v>
      </c>
      <c r="H22" s="65" t="n">
        <v>-46.26</v>
      </c>
      <c r="I22" s="65" t="n">
        <v>71.23</v>
      </c>
      <c r="J22" s="65" t="n">
        <v>65.03</v>
      </c>
      <c r="K22" s="65" t="n">
        <v>99.77</v>
      </c>
      <c r="L22" s="65" t="n">
        <v>-0.04</v>
      </c>
      <c r="M22" s="65" t="n">
        <v>300.19</v>
      </c>
      <c r="N22" s="58">
        <f>MAX(ABS(K22-B22),ABS(L22-C22),ABS(M22-D22))</f>
        <v/>
      </c>
    </row>
    <row r="24" ht="31.5" customHeight="1" s="38">
      <c r="A24" s="40" t="inlineStr">
        <is>
          <t>Enter any IK row's target, φ and branch into IK_Calculator to reproduce its q values. The 4 typed-CAD IK errors peak at 0.23 mm, but rounding angles to 0.01° contributes only ≈0.028 mm in this model; the rest of the CAD-vs-model difference is unexplained here. This is not hardware proof.</t>
        </is>
      </c>
    </row>
  </sheetData>
  <mergeCells count="2">
    <mergeCell ref="A24:N24"/>
    <mergeCell ref="A2:N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52" customWidth="1" style="37" min="1" max="1"/>
    <col width="14" customWidth="1" style="37" min="2" max="2"/>
    <col width="12" customWidth="1" style="37" min="3" max="3"/>
    <col width="14" customWidth="1" style="37" min="4" max="4"/>
    <col width="22" customWidth="1" style="37" min="5" max="5"/>
    <col width="20" customWidth="1" style="37" min="6" max="6"/>
    <col width="48" customWidth="1" style="37" min="7" max="7"/>
  </cols>
  <sheetData>
    <row r="1" ht="17.25" customHeight="1" s="38">
      <c r="A1" s="42" t="inlineStr">
        <is>
          <t>J1 rotation axis on the base plate</t>
        </is>
      </c>
    </row>
    <row r="2" ht="31.5" customHeight="1" s="38">
      <c r="A2" s="68" t="inlineStr">
        <is>
          <t>J1 = CAD joint 'Revolute Base' (base_link_upper ↔ base_link). Axis is vertical. Concentric features: MG996R base servo spline (r 3.0/5.4/6.6), bearing 02300254 bore r 15.0, base_link bores r 11.0 &amp; 14.95, base horn.</t>
        </is>
      </c>
    </row>
    <row r="4" ht="39" customHeight="1" s="38">
      <c r="A4" s="43" t="inlineStr">
        <is>
          <t>Plate edge (Fusion)</t>
        </is>
      </c>
      <c r="B4" s="43" t="inlineStr">
        <is>
          <t>Edge coordinate (mm)</t>
        </is>
      </c>
      <c r="C4" s="43" t="inlineStr">
        <is>
          <t>Coordinate axis</t>
        </is>
      </c>
      <c r="D4" s="43" t="inlineStr">
        <is>
          <t>Straight length (mm)</t>
        </is>
      </c>
      <c r="E4" s="43" t="inlineStr">
        <is>
          <t>Perpendicular offset edge → J1 axis (mm)</t>
        </is>
      </c>
      <c r="F4" s="43" t="inlineStr">
        <is>
          <t>Use on real plate</t>
        </is>
      </c>
      <c r="G4" s="43" t="inlineStr">
        <is>
          <t>Note</t>
        </is>
      </c>
    </row>
    <row r="5" ht="15" customHeight="1" s="38">
      <c r="A5" s="44" t="inlineStr">
        <is>
          <t>Short edge, Fusion −X side</t>
        </is>
      </c>
      <c r="B5" s="45" t="n">
        <v>-85</v>
      </c>
      <c r="C5" s="44" t="inlineStr">
        <is>
          <t>X</t>
        </is>
      </c>
      <c r="D5" s="45" t="n">
        <v>108</v>
      </c>
      <c r="E5" s="69">
        <f>ABS(Inputs!$B$7-B5)</f>
        <v/>
      </c>
      <c r="F5" s="44" t="inlineStr">
        <is>
          <t>Yes – recommended</t>
        </is>
      </c>
      <c r="G5" s="44" t="inlineStr">
        <is>
          <t>Measure ≥10 mm from R10 corners</t>
        </is>
      </c>
    </row>
    <row r="6" ht="15" customHeight="1" s="38">
      <c r="A6" s="44" t="inlineStr">
        <is>
          <t>Short edge, Fusion +X side</t>
        </is>
      </c>
      <c r="B6" s="45" t="n">
        <v>101.5</v>
      </c>
      <c r="C6" s="44" t="inlineStr">
        <is>
          <t>X</t>
        </is>
      </c>
      <c r="D6" s="45" t="n">
        <v>108</v>
      </c>
      <c r="E6" s="69">
        <f>ABS(Inputs!$B$7-B6)</f>
        <v/>
      </c>
      <c r="F6" s="44" t="inlineStr">
        <is>
          <t>Check</t>
        </is>
      </c>
      <c r="G6" s="44" t="n"/>
    </row>
    <row r="7" ht="15" customHeight="1" s="38">
      <c r="A7" s="44" t="inlineStr">
        <is>
          <t>Long edge, Fusion −Z side</t>
        </is>
      </c>
      <c r="B7" s="45" t="n">
        <v>-46</v>
      </c>
      <c r="C7" s="44" t="inlineStr">
        <is>
          <t>Z</t>
        </is>
      </c>
      <c r="D7" s="45" t="n">
        <v>166.5</v>
      </c>
      <c r="E7" s="69">
        <f>ABS(Inputs!$B$8-B7)</f>
        <v/>
      </c>
      <c r="F7" s="44" t="inlineStr">
        <is>
          <t>Yes – recommended</t>
        </is>
      </c>
      <c r="G7" s="44" t="inlineStr">
        <is>
          <t>Console spacer pad is beyond this edge (Fusion Z −95…−65)</t>
        </is>
      </c>
    </row>
    <row r="8" ht="15" customHeight="1" s="38">
      <c r="A8" s="44" t="inlineStr">
        <is>
          <t>Long edge, Fusion +Z side</t>
        </is>
      </c>
      <c r="B8" s="45" t="n">
        <v>82</v>
      </c>
      <c r="C8" s="44" t="inlineStr">
        <is>
          <t>Z</t>
        </is>
      </c>
      <c r="D8" s="45" t="n">
        <v>166.5</v>
      </c>
      <c r="E8" s="69">
        <f>ABS(Inputs!$B$8-B8)</f>
        <v/>
      </c>
      <c r="F8" s="44" t="inlineStr">
        <is>
          <t>Check</t>
        </is>
      </c>
      <c r="G8" s="44" t="n"/>
    </row>
    <row r="10" ht="15" customHeight="1" s="38">
      <c r="A10" s="48" t="inlineStr">
        <is>
          <t>Checks</t>
        </is>
      </c>
    </row>
    <row r="11" ht="15" customHeight="1" s="38">
      <c r="A11" s="52" t="inlineStr">
        <is>
          <t>Plate length along Fusion X (sum of short-edge offsets)</t>
        </is>
      </c>
      <c r="E11" s="70">
        <f>E5+E6</f>
        <v/>
      </c>
      <c r="G11" s="52" t="inlineStr">
        <is>
          <t>Should be 186.5 on the real plate</t>
        </is>
      </c>
    </row>
    <row r="12" ht="15" customHeight="1" s="38">
      <c r="A12" s="52" t="inlineStr">
        <is>
          <t>Plate width along Fusion Z (sum of long-edge offsets)</t>
        </is>
      </c>
      <c r="E12" s="70">
        <f>E7+E8</f>
        <v/>
      </c>
      <c r="G12" s="52" t="inlineStr">
        <is>
          <t>Should be 128.0 on the real plate</t>
        </is>
      </c>
    </row>
    <row r="13" ht="15" customHeight="1" s="38">
      <c r="A13" s="52" t="inlineStr">
        <is>
          <t>Plate centre Fusion X</t>
        </is>
      </c>
      <c r="E13" s="70">
        <f>(B5+B6)/2</f>
        <v/>
      </c>
      <c r="G13" s="52" t="n"/>
    </row>
    <row r="14" ht="15" customHeight="1" s="38">
      <c r="A14" s="52" t="inlineStr">
        <is>
          <t>Plate centre Fusion Z</t>
        </is>
      </c>
      <c r="E14" s="70">
        <f>(B7+B8)/2</f>
        <v/>
      </c>
      <c r="G14" s="52" t="n"/>
    </row>
    <row r="15" ht="15" customHeight="1" s="38">
      <c r="A15" s="52" t="inlineStr">
        <is>
          <t>J1 offset from plate centre along Fusion X</t>
        </is>
      </c>
      <c r="E15" s="70">
        <f>Inputs!$B$7-(B5+B6)/2</f>
        <v/>
      </c>
      <c r="G15" s="52" t="inlineStr">
        <is>
          <t>J1 is NOT at plate centre</t>
        </is>
      </c>
    </row>
    <row r="16" ht="15" customHeight="1" s="38">
      <c r="A16" s="52" t="inlineStr">
        <is>
          <t>J1 offset from plate centre along Fusion Z</t>
        </is>
      </c>
      <c r="E16" s="70">
        <f>Inputs!$B$8-(B7+B8)/2</f>
        <v/>
      </c>
      <c r="G16" s="52" t="n"/>
    </row>
    <row r="17" ht="15" customHeight="1" s="38">
      <c r="A17" s="52" t="inlineStr">
        <is>
          <t>Distance J1 axis → screw hole at (−54, 18.2), centre-to-centre</t>
        </is>
      </c>
      <c r="E17" s="70">
        <f>SQRT((Inputs!$B$7-(-54))^2+(Inputs!$B$8-18.2)^2)</f>
        <v/>
      </c>
      <c r="G17" s="52" t="inlineStr">
        <is>
          <t>Extra cross-check on the real plate (hole Ø2.6)</t>
        </is>
      </c>
    </row>
    <row r="18" ht="15" customHeight="1" s="38">
      <c r="A18" s="52" t="inlineStr">
        <is>
          <t>Plate thickness</t>
        </is>
      </c>
      <c r="E18" s="70">
        <f>Inputs!B10-Inputs!B9</f>
        <v/>
      </c>
      <c r="G18" s="52" t="inlineStr">
        <is>
          <t>CAD: no feet; bottom face is lowest geometry</t>
        </is>
      </c>
    </row>
    <row r="20" ht="15" customHeight="1" s="38">
      <c r="A20" s="48" t="inlineStr">
        <is>
          <t>Other base-plate features (Fusion coords, mm)</t>
        </is>
      </c>
    </row>
    <row r="21" ht="26.25" customHeight="1" s="38">
      <c r="A21" s="43" t="inlineStr">
        <is>
          <t>Feature</t>
        </is>
      </c>
      <c r="B21" s="43" t="inlineStr">
        <is>
          <t>Fusion X</t>
        </is>
      </c>
      <c r="C21" s="43" t="inlineStr">
        <is>
          <t>Fusion Z</t>
        </is>
      </c>
      <c r="D21" s="43" t="inlineStr">
        <is>
          <t>Radius (mm)</t>
        </is>
      </c>
      <c r="E21" s="43" t="inlineStr">
        <is>
          <t>Distance to J1 axis (mm)</t>
        </is>
      </c>
      <c r="F21" s="43" t="n"/>
      <c r="G21" s="43" t="n"/>
    </row>
    <row r="22" ht="15" customHeight="1" s="38">
      <c r="A22" s="52" t="inlineStr">
        <is>
          <t>Screw hole</t>
        </is>
      </c>
      <c r="B22" s="71" t="n">
        <v>60</v>
      </c>
      <c r="C22" s="71" t="n">
        <v>71.59999999999999</v>
      </c>
      <c r="D22" s="71" t="n">
        <v>1.3</v>
      </c>
      <c r="E22" s="70">
        <f>SQRT((B22-Inputs!$B$7)^2+(C22-Inputs!$B$8)^2)</f>
        <v/>
      </c>
    </row>
    <row r="23" ht="15" customHeight="1" s="38">
      <c r="A23" s="52" t="inlineStr">
        <is>
          <t>Screw hole</t>
        </is>
      </c>
      <c r="B23" s="71" t="n">
        <v>60</v>
      </c>
      <c r="C23" s="71" t="n">
        <v>-35.6</v>
      </c>
      <c r="D23" s="71" t="n">
        <v>1.3</v>
      </c>
      <c r="E23" s="70">
        <f>SQRT((B23-Inputs!$B$7)^2+(C23-Inputs!$B$8)^2)</f>
        <v/>
      </c>
    </row>
    <row r="24" ht="15" customHeight="1" s="38">
      <c r="A24" s="52" t="inlineStr">
        <is>
          <t>Screw hole (in line with J1)</t>
        </is>
      </c>
      <c r="B24" s="71" t="n">
        <v>-54</v>
      </c>
      <c r="C24" s="71" t="n">
        <v>18.2</v>
      </c>
      <c r="D24" s="71" t="n">
        <v>1.3</v>
      </c>
      <c r="E24" s="70">
        <f>SQRT((B24-Inputs!$B$7)^2+(C24-Inputs!$B$8)^2)</f>
        <v/>
      </c>
    </row>
    <row r="25" ht="15" customHeight="1" s="38">
      <c r="A25" s="52" t="inlineStr">
        <is>
          <t>Opening corner arc centre</t>
        </is>
      </c>
      <c r="B25" s="71" t="n">
        <v>72</v>
      </c>
      <c r="C25" s="71" t="n">
        <v>-22</v>
      </c>
      <c r="D25" s="71" t="n">
        <v>6</v>
      </c>
      <c r="E25" s="70">
        <f>SQRT((B25-Inputs!$B$7)^2+(C25-Inputs!$B$8)^2)</f>
        <v/>
      </c>
    </row>
    <row r="26" ht="15" customHeight="1" s="38">
      <c r="A26" s="52" t="inlineStr">
        <is>
          <t>Opening corner arc centre</t>
        </is>
      </c>
      <c r="B26" s="71" t="n">
        <v>72</v>
      </c>
      <c r="C26" s="71" t="n">
        <v>58</v>
      </c>
      <c r="D26" s="71" t="n">
        <v>6</v>
      </c>
      <c r="E26" s="70">
        <f>SQRT((B26-Inputs!$B$7)^2+(C26-Inputs!$B$8)^2)</f>
        <v/>
      </c>
    </row>
    <row r="27" ht="15" customHeight="1" s="38">
      <c r="A27" s="52" t="inlineStr">
        <is>
          <t>Opening corner arc centre</t>
        </is>
      </c>
      <c r="B27" s="71" t="n">
        <v>-38</v>
      </c>
      <c r="C27" s="71" t="n">
        <v>-22</v>
      </c>
      <c r="D27" s="71" t="n">
        <v>6</v>
      </c>
      <c r="E27" s="70">
        <f>SQRT((B27-Inputs!$B$7)^2+(C27-Inputs!$B$8)^2)</f>
        <v/>
      </c>
    </row>
    <row r="28" ht="15" customHeight="1" s="38">
      <c r="A28" s="52" t="inlineStr">
        <is>
          <t>Opening corner arc centre</t>
        </is>
      </c>
      <c r="B28" s="71" t="n">
        <v>-38</v>
      </c>
      <c r="C28" s="71" t="n">
        <v>58</v>
      </c>
      <c r="D28" s="71" t="n">
        <v>6</v>
      </c>
      <c r="E28" s="70">
        <f>SQRT((B28-Inputs!$B$7)^2+(C28-Inputs!$B$8)^2)</f>
        <v/>
      </c>
    </row>
    <row r="30" ht="15" customHeight="1" s="38">
      <c r="A30" s="52" t="inlineStr">
        <is>
          <t>Through-opening under base: 122 × 92 mm, edges at Fusion X −44 / +78 and Z −28 / +64 (R6 corners). Inner-edge offsets to J1: 44.00 / 78.00 / 46.18 / 45.82 mm – likely hidden under the base on the real arm.</t>
        </is>
      </c>
    </row>
    <row r="33" ht="15" customHeight="1" s="38">
      <c r="A33" s="48" t="inlineStr">
        <is>
          <t>Transfer procedure (real plate)</t>
        </is>
      </c>
    </row>
    <row r="34" ht="30" customHeight="1" s="38">
      <c r="A34" s="40" t="inlineStr">
        <is>
          <t>1. Pick one short edge and one long edge (recommended rows marked above). Measure on straight parts, ≥10 mm from the R10 corners.</t>
        </is>
      </c>
    </row>
    <row r="35" ht="30" customHeight="1" s="38">
      <c r="A35" s="40" t="inlineStr">
        <is>
          <t>2. From the short edge, measure the offset in column E perpendicular inward and mark that point. Through the point, draw a line parallel to that edge.</t>
        </is>
      </c>
    </row>
    <row r="36" ht="30" customHeight="1" s="38">
      <c r="A36" s="40" t="inlineStr">
        <is>
          <t>3. From the long edge, measure its offset perpendicular inward and mark it; draw a second line parallel to the long edge. The intersection = J1 axis.</t>
        </is>
      </c>
    </row>
    <row r="37" ht="30" customHeight="1" s="38">
      <c r="A37" s="40" t="inlineStr">
        <is>
          <t>4. Cross-check: intersection should be 54.0 mm from the centre of the screw hole in line with J1, and both pairs of opposite-edge offsets should sum to the plate size (Checks above). If not, the real plate differs from CAD – measure the real plate.</t>
        </is>
      </c>
    </row>
    <row r="38" ht="30" customHeight="1" s="38">
      <c r="A38" s="40" t="inlineStr">
        <is>
          <t>5. Floor origin = that point projected down to the support plane. Add foot height (Inputs!B6) if the plate stands on feet/pads.</t>
        </is>
      </c>
    </row>
  </sheetData>
  <mergeCells count="6">
    <mergeCell ref="A36:G36"/>
    <mergeCell ref="A34:G34"/>
    <mergeCell ref="A35:G35"/>
    <mergeCell ref="A38:G38"/>
    <mergeCell ref="A2:G2"/>
    <mergeCell ref="A37:G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R13"/>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8359375" defaultRowHeight="15" zeroHeight="0" outlineLevelRow="0"/>
  <cols>
    <col width="22" customWidth="1" style="37" min="1" max="1"/>
    <col width="24" customWidth="1" style="37" min="2" max="2"/>
    <col width="20" customWidth="1" style="37" min="3" max="3"/>
    <col width="17" customWidth="1" style="37" min="4" max="4"/>
    <col width="10" customWidth="1" style="37" min="5" max="5"/>
    <col width="9" customWidth="1" style="37" min="6" max="8"/>
    <col width="7" customWidth="1" style="37" min="9" max="11"/>
    <col width="11" customWidth="1" style="37" min="12" max="13"/>
    <col width="13" customWidth="1" style="37" min="14" max="14"/>
    <col width="9" customWidth="1" style="37" min="15" max="17"/>
    <col width="13" customWidth="1" style="37" min="18" max="18"/>
  </cols>
  <sheetData>
    <row r="1" ht="17.25" customHeight="1" s="38">
      <c r="A1" s="42" t="inlineStr">
        <is>
          <t>Revolute joint axes from CAD (as-built pose, all arm joints at Fusion 0°)</t>
        </is>
      </c>
    </row>
    <row r="2" ht="30" customHeight="1" s="38">
      <c r="A2" s="68" t="inlineStr">
        <is>
          <t>Each joint gives ONE point on its axis + the axis direction. The coordinate ALONG the axis is arbitrary (e.g. Robot Y of a horizontal axis, Robot Z of a vertical axis) – use only the perpendicular components.</t>
        </is>
      </c>
    </row>
    <row r="4" ht="45" customHeight="1" s="38">
      <c r="A4" s="43" t="inlineStr">
        <is>
          <t>Joint (ours)</t>
        </is>
      </c>
      <c r="B4" s="43" t="inlineStr">
        <is>
          <t>CAD joint name</t>
        </is>
      </c>
      <c r="C4" s="43" t="inlineStr">
        <is>
          <t>Moving part</t>
        </is>
      </c>
      <c r="D4" s="43" t="inlineStr">
        <is>
          <t>Fixed part</t>
        </is>
      </c>
      <c r="E4" s="43" t="inlineStr">
        <is>
          <t>Fusion rot now (deg)</t>
        </is>
      </c>
      <c r="F4" s="43" t="inlineStr">
        <is>
          <t>Fusion X</t>
        </is>
      </c>
      <c r="G4" s="43" t="inlineStr">
        <is>
          <t>Fusion Y</t>
        </is>
      </c>
      <c r="H4" s="43" t="inlineStr">
        <is>
          <t>Fusion Z</t>
        </is>
      </c>
      <c r="I4" s="43" t="inlineStr">
        <is>
          <t>Axis dX</t>
        </is>
      </c>
      <c r="J4" s="43" t="inlineStr">
        <is>
          <t>Axis dY</t>
        </is>
      </c>
      <c r="K4" s="43" t="inlineStr">
        <is>
          <t>Axis dZ</t>
        </is>
      </c>
      <c r="L4" s="43" t="inlineStr">
        <is>
          <t>Robot X (mm)</t>
        </is>
      </c>
      <c r="M4" s="43" t="inlineStr">
        <is>
          <t>Robot Y (mm)</t>
        </is>
      </c>
      <c r="N4" s="43" t="inlineStr">
        <is>
          <t>Robot Z above floor (mm)</t>
        </is>
      </c>
      <c r="O4" s="43" t="inlineStr">
        <is>
          <t>Robot axis X</t>
        </is>
      </c>
      <c r="P4" s="43" t="inlineStr">
        <is>
          <t>Robot axis Y</t>
        </is>
      </c>
      <c r="Q4" s="43" t="inlineStr">
        <is>
          <t>Robot axis Z</t>
        </is>
      </c>
      <c r="R4" s="43" t="inlineStr">
        <is>
          <t>Arbitrary component</t>
        </is>
      </c>
    </row>
    <row r="5" ht="15" customHeight="1" s="38">
      <c r="A5" s="44" t="inlineStr">
        <is>
          <t>J1 base yaw</t>
        </is>
      </c>
      <c r="B5" s="44" t="inlineStr">
        <is>
          <t>Revolute Base</t>
        </is>
      </c>
      <c r="C5" s="44" t="inlineStr">
        <is>
          <t>base_link_upper:1</t>
        </is>
      </c>
      <c r="D5" s="44" t="inlineStr">
        <is>
          <t>base_link:1</t>
        </is>
      </c>
      <c r="E5" s="45" t="n">
        <v>0</v>
      </c>
      <c r="F5" s="45" t="n">
        <v>0</v>
      </c>
      <c r="G5" s="45" t="n">
        <v>20</v>
      </c>
      <c r="H5" s="45" t="n">
        <v>18.18</v>
      </c>
      <c r="I5" s="45" t="n">
        <v>0</v>
      </c>
      <c r="J5" s="45" t="n">
        <v>-1</v>
      </c>
      <c r="K5" s="45" t="n">
        <v>0</v>
      </c>
      <c r="L5" s="55">
        <f>IF(Inputs!$B$5="","set arrow",Inputs!$B$5*(F5-Inputs!$B$7))</f>
        <v/>
      </c>
      <c r="M5" s="55">
        <f>IF(Inputs!$B$5="","set arrow",-Inputs!$B$5*(H5-Inputs!$B$8))</f>
        <v/>
      </c>
      <c r="N5" s="55">
        <f>G5-Inputs!$B$9+Inputs!$B$6</f>
        <v/>
      </c>
      <c r="O5" s="55">
        <f>IF(Inputs!$B$5="","set arrow",Inputs!$B$5*I5+0)</f>
        <v/>
      </c>
      <c r="P5" s="55">
        <f>IF(Inputs!$B$5="","set arrow",-Inputs!$B$5*K5+0)</f>
        <v/>
      </c>
      <c r="Q5" s="55">
        <f>J5+0</f>
        <v/>
      </c>
      <c r="R5" s="55" t="inlineStr">
        <is>
          <t>Robot Z</t>
        </is>
      </c>
    </row>
    <row r="6" ht="15" customHeight="1" s="38">
      <c r="A6" s="44" t="inlineStr">
        <is>
          <t>J2 shoulder</t>
        </is>
      </c>
      <c r="B6" s="44" t="inlineStr">
        <is>
          <t>Revolute Shoulder</t>
        </is>
      </c>
      <c r="C6" s="44" t="inlineStr">
        <is>
          <t>arm_link_1:1</t>
        </is>
      </c>
      <c r="D6" s="44" t="inlineStr">
        <is>
          <t>base_link_upper:1</t>
        </is>
      </c>
      <c r="E6" s="45" t="n">
        <v>0</v>
      </c>
      <c r="F6" s="45" t="n">
        <v>-23.15</v>
      </c>
      <c r="G6" s="45" t="n">
        <v>59.72</v>
      </c>
      <c r="H6" s="45" t="n">
        <v>14.08</v>
      </c>
      <c r="I6" s="45" t="n">
        <v>0</v>
      </c>
      <c r="J6" s="45" t="n">
        <v>0</v>
      </c>
      <c r="K6" s="45" t="n">
        <v>-1</v>
      </c>
      <c r="L6" s="55">
        <f>IF(Inputs!$B$5="","set arrow",Inputs!$B$5*(F6-Inputs!$B$7))</f>
        <v/>
      </c>
      <c r="M6" s="55">
        <f>IF(Inputs!$B$5="","set arrow",-Inputs!$B$5*(H6-Inputs!$B$8))</f>
        <v/>
      </c>
      <c r="N6" s="55">
        <f>G6-Inputs!$B$9+Inputs!$B$6</f>
        <v/>
      </c>
      <c r="O6" s="55">
        <f>IF(Inputs!$B$5="","set arrow",Inputs!$B$5*I6+0)</f>
        <v/>
      </c>
      <c r="P6" s="55">
        <f>IF(Inputs!$B$5="","set arrow",-Inputs!$B$5*K6+0)</f>
        <v/>
      </c>
      <c r="Q6" s="55">
        <f>J6+0</f>
        <v/>
      </c>
      <c r="R6" s="55" t="inlineStr">
        <is>
          <t>Robot Y</t>
        </is>
      </c>
    </row>
    <row r="7" ht="15" customHeight="1" s="38">
      <c r="A7" s="44" t="inlineStr">
        <is>
          <t>J3 elbow</t>
        </is>
      </c>
      <c r="B7" s="44" t="inlineStr">
        <is>
          <t>Revolute Elbow</t>
        </is>
      </c>
      <c r="C7" s="44" t="inlineStr">
        <is>
          <t>arm_link_2:1</t>
        </is>
      </c>
      <c r="D7" s="44" t="inlineStr">
        <is>
          <t>arm_link_1:1</t>
        </is>
      </c>
      <c r="E7" s="45" t="n">
        <v>0</v>
      </c>
      <c r="F7" s="45" t="n">
        <v>-23.14</v>
      </c>
      <c r="G7" s="45" t="n">
        <v>172.84</v>
      </c>
      <c r="H7" s="45" t="n">
        <v>21.18</v>
      </c>
      <c r="I7" s="45" t="n">
        <v>0</v>
      </c>
      <c r="J7" s="45" t="n">
        <v>0</v>
      </c>
      <c r="K7" s="45" t="n">
        <v>1</v>
      </c>
      <c r="L7" s="55">
        <f>IF(Inputs!$B$5="","set arrow",Inputs!$B$5*(F7-Inputs!$B$7))</f>
        <v/>
      </c>
      <c r="M7" s="55">
        <f>IF(Inputs!$B$5="","set arrow",-Inputs!$B$5*(H7-Inputs!$B$8))</f>
        <v/>
      </c>
      <c r="N7" s="55">
        <f>G7-Inputs!$B$9+Inputs!$B$6</f>
        <v/>
      </c>
      <c r="O7" s="55">
        <f>IF(Inputs!$B$5="","set arrow",Inputs!$B$5*I7+0)</f>
        <v/>
      </c>
      <c r="P7" s="55">
        <f>IF(Inputs!$B$5="","set arrow",-Inputs!$B$5*K7+0)</f>
        <v/>
      </c>
      <c r="Q7" s="55">
        <f>J7+0</f>
        <v/>
      </c>
      <c r="R7" s="55" t="inlineStr">
        <is>
          <t>Robot Y</t>
        </is>
      </c>
    </row>
    <row r="8" ht="15" customHeight="1" s="38">
      <c r="A8" s="44" t="inlineStr">
        <is>
          <t>J4 wrist roll</t>
        </is>
      </c>
      <c r="B8" s="44" t="inlineStr">
        <is>
          <t>Revolute Wrist Roll</t>
        </is>
      </c>
      <c r="C8" s="44" t="inlineStr">
        <is>
          <t>arm_link_3:1</t>
        </is>
      </c>
      <c r="D8" s="44" t="inlineStr">
        <is>
          <t>arm_link_2:1</t>
        </is>
      </c>
      <c r="E8" s="45" t="n">
        <v>0</v>
      </c>
      <c r="F8" s="45" t="n">
        <v>-23.14</v>
      </c>
      <c r="G8" s="45" t="n">
        <v>273.99</v>
      </c>
      <c r="H8" s="45" t="n">
        <v>33.43</v>
      </c>
      <c r="I8" s="45" t="n">
        <v>0</v>
      </c>
      <c r="J8" s="45" t="n">
        <v>-1</v>
      </c>
      <c r="K8" s="45" t="n">
        <v>0</v>
      </c>
      <c r="L8" s="55">
        <f>IF(Inputs!$B$5="","set arrow",Inputs!$B$5*(F8-Inputs!$B$7))</f>
        <v/>
      </c>
      <c r="M8" s="55">
        <f>IF(Inputs!$B$5="","set arrow",-Inputs!$B$5*(H8-Inputs!$B$8))</f>
        <v/>
      </c>
      <c r="N8" s="55">
        <f>G8-Inputs!$B$9+Inputs!$B$6</f>
        <v/>
      </c>
      <c r="O8" s="55">
        <f>IF(Inputs!$B$5="","set arrow",Inputs!$B$5*I8+0)</f>
        <v/>
      </c>
      <c r="P8" s="55">
        <f>IF(Inputs!$B$5="","set arrow",-Inputs!$B$5*K8+0)</f>
        <v/>
      </c>
      <c r="Q8" s="55">
        <f>J8+0</f>
        <v/>
      </c>
      <c r="R8" s="55" t="inlineStr">
        <is>
          <t>Robot Z</t>
        </is>
      </c>
    </row>
    <row r="9" ht="15" customHeight="1" s="38">
      <c r="A9" s="44" t="inlineStr">
        <is>
          <t>J5 wrist pitch</t>
        </is>
      </c>
      <c r="B9" s="44" t="inlineStr">
        <is>
          <t>Revolute Wrist Pitch</t>
        </is>
      </c>
      <c r="C9" s="44" t="inlineStr">
        <is>
          <t>gripper_base:1</t>
        </is>
      </c>
      <c r="D9" s="44" t="inlineStr">
        <is>
          <t>arm_link_3:1</t>
        </is>
      </c>
      <c r="E9" s="45" t="n">
        <v>0</v>
      </c>
      <c r="F9" s="45" t="n">
        <v>-23.14</v>
      </c>
      <c r="G9" s="45" t="n">
        <v>299.24</v>
      </c>
      <c r="H9" s="45" t="n">
        <v>13.18</v>
      </c>
      <c r="I9" s="45" t="n">
        <v>0</v>
      </c>
      <c r="J9" s="45" t="n">
        <v>0</v>
      </c>
      <c r="K9" s="45" t="n">
        <v>-1</v>
      </c>
      <c r="L9" s="55">
        <f>IF(Inputs!$B$5="","set arrow",Inputs!$B$5*(F9-Inputs!$B$7))</f>
        <v/>
      </c>
      <c r="M9" s="55">
        <f>IF(Inputs!$B$5="","set arrow",-Inputs!$B$5*(H9-Inputs!$B$8))</f>
        <v/>
      </c>
      <c r="N9" s="55">
        <f>G9-Inputs!$B$9+Inputs!$B$6</f>
        <v/>
      </c>
      <c r="O9" s="55">
        <f>IF(Inputs!$B$5="","set arrow",Inputs!$B$5*I9+0)</f>
        <v/>
      </c>
      <c r="P9" s="55">
        <f>IF(Inputs!$B$5="","set arrow",-Inputs!$B$5*K9+0)</f>
        <v/>
      </c>
      <c r="Q9" s="55">
        <f>J9+0</f>
        <v/>
      </c>
      <c r="R9" s="55" t="inlineStr">
        <is>
          <t>Robot Y</t>
        </is>
      </c>
    </row>
    <row r="10" ht="15" customHeight="1" s="38">
      <c r="A10" s="44" t="inlineStr">
        <is>
          <t>J6 gripper gear L</t>
        </is>
      </c>
      <c r="B10" s="44" t="inlineStr">
        <is>
          <t>Revolute Gripper Gear Left</t>
        </is>
      </c>
      <c r="C10" s="44" t="inlineStr">
        <is>
          <t>gripper_gear_left:1</t>
        </is>
      </c>
      <c r="D10" s="44" t="inlineStr">
        <is>
          <t>gripper_base:1</t>
        </is>
      </c>
      <c r="E10" s="45" t="n">
        <v>20</v>
      </c>
      <c r="F10" s="45" t="n">
        <v>-7.14</v>
      </c>
      <c r="G10" s="45" t="n">
        <v>324.32</v>
      </c>
      <c r="H10" s="45" t="n">
        <v>43.65</v>
      </c>
      <c r="I10" s="45" t="n">
        <v>1</v>
      </c>
      <c r="J10" s="45" t="n">
        <v>0</v>
      </c>
      <c r="K10" s="45" t="n">
        <v>0</v>
      </c>
      <c r="L10" s="55">
        <f>IF(Inputs!$B$5="","set arrow",Inputs!$B$5*(F10-Inputs!$B$7))</f>
        <v/>
      </c>
      <c r="M10" s="55">
        <f>IF(Inputs!$B$5="","set arrow",-Inputs!$B$5*(H10-Inputs!$B$8))</f>
        <v/>
      </c>
      <c r="N10" s="55">
        <f>G10-Inputs!$B$9+Inputs!$B$6</f>
        <v/>
      </c>
      <c r="O10" s="55">
        <f>IF(Inputs!$B$5="","set arrow",Inputs!$B$5*I10+0)</f>
        <v/>
      </c>
      <c r="P10" s="55">
        <f>IF(Inputs!$B$5="","set arrow",-Inputs!$B$5*K10+0)</f>
        <v/>
      </c>
      <c r="Q10" s="55">
        <f>J10+0</f>
        <v/>
      </c>
      <c r="R10" s="55" t="inlineStr">
        <is>
          <t>Robot X</t>
        </is>
      </c>
    </row>
    <row r="11" ht="15" customHeight="1" s="38">
      <c r="A11" s="44" t="inlineStr">
        <is>
          <t>J6 gripper gear R</t>
        </is>
      </c>
      <c r="B11" s="44" t="inlineStr">
        <is>
          <t>Revolute Gripper Gear Right</t>
        </is>
      </c>
      <c r="C11" s="44" t="inlineStr">
        <is>
          <t>gripper_gear_right:1</t>
        </is>
      </c>
      <c r="D11" s="44" t="inlineStr">
        <is>
          <t>gripper_base:1</t>
        </is>
      </c>
      <c r="E11" s="45" t="n">
        <v>20</v>
      </c>
      <c r="F11" s="45" t="n">
        <v>-7.14</v>
      </c>
      <c r="G11" s="45" t="n">
        <v>324.32</v>
      </c>
      <c r="H11" s="45" t="n">
        <v>15.89</v>
      </c>
      <c r="I11" s="45" t="n">
        <v>-1</v>
      </c>
      <c r="J11" s="45" t="n">
        <v>0</v>
      </c>
      <c r="K11" s="45" t="n">
        <v>0</v>
      </c>
      <c r="L11" s="55">
        <f>IF(Inputs!$B$5="","set arrow",Inputs!$B$5*(F11-Inputs!$B$7))</f>
        <v/>
      </c>
      <c r="M11" s="55">
        <f>IF(Inputs!$B$5="","set arrow",-Inputs!$B$5*(H11-Inputs!$B$8))</f>
        <v/>
      </c>
      <c r="N11" s="55">
        <f>G11-Inputs!$B$9+Inputs!$B$6</f>
        <v/>
      </c>
      <c r="O11" s="55">
        <f>IF(Inputs!$B$5="","set arrow",Inputs!$B$5*I11+0)</f>
        <v/>
      </c>
      <c r="P11" s="55">
        <f>IF(Inputs!$B$5="","set arrow",-Inputs!$B$5*K11+0)</f>
        <v/>
      </c>
      <c r="Q11" s="55">
        <f>J11+0</f>
        <v/>
      </c>
      <c r="R11" s="55" t="inlineStr">
        <is>
          <t>Robot X</t>
        </is>
      </c>
    </row>
    <row r="13" ht="30" customHeight="1" s="38">
      <c r="A13" s="40" t="inlineStr">
        <is>
          <t>Note: J6 gear axes are the gripper drive gears (gripper servo SG92R:2). Fusion shows them at 20° in the as-built pose. No TCP / jaw-tip frame is defined in the CAD; gripper jaw parts reach Fusion Y ≈ 409.1 (bounding box only).</t>
        </is>
      </c>
    </row>
  </sheetData>
  <mergeCells count="2">
    <mergeCell ref="A13:R13"/>
    <mergeCell ref="A2:R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58" customWidth="1" style="37" min="1" max="1"/>
    <col width="13" customWidth="1" style="37" min="2" max="2"/>
    <col width="22" customWidth="1" style="37" min="3" max="3"/>
    <col width="62" customWidth="1" style="37" min="4" max="4"/>
  </cols>
  <sheetData>
    <row r="1" ht="17.25" customHeight="1" s="38">
      <c r="A1" s="42" t="inlineStr">
        <is>
          <t>Distances between axes (for FK / IK)</t>
        </is>
      </c>
    </row>
    <row r="2" ht="30" customHeight="1" s="38">
      <c r="A2" s="68" t="inlineStr">
        <is>
          <t>All computed from Joint_Axes. Distances between parallel axes do not depend on pose; that is a local link-length qualification, not a statement about global coordinates. Vertical spacings assume the CAD as-built pose (arm straight up). J3→J5 is the parallel-axis reference, not the full roll geometry.</t>
        </is>
      </c>
    </row>
    <row r="4" ht="15" customHeight="1" s="38">
      <c r="A4" s="43" t="inlineStr">
        <is>
          <t>Quantity</t>
        </is>
      </c>
      <c r="B4" s="43" t="inlineStr">
        <is>
          <t>Value (mm)</t>
        </is>
      </c>
      <c r="C4" s="43" t="inlineStr">
        <is>
          <t>Pose-independent?</t>
        </is>
      </c>
      <c r="D4" s="43" t="inlineStr">
        <is>
          <t>How it is computed / note</t>
        </is>
      </c>
    </row>
    <row r="5" ht="26.25" customHeight="1" s="38">
      <c r="A5" s="46" t="inlineStr">
        <is>
          <t>J2 shoulder axis height above floor</t>
        </is>
      </c>
      <c r="B5" s="72">
        <f>Joint_Axes!G6-Inputs!$B$9+Inputs!$B$6</f>
        <v/>
      </c>
      <c r="C5" s="46" t="inlineStr">
        <is>
          <t>No (fixed by base/foot height; independent of arm joint angles)</t>
        </is>
      </c>
      <c r="D5" s="46" t="inlineStr">
        <is>
          <t>Fusion Y of shoulder − plate bottom + foot height</t>
        </is>
      </c>
    </row>
    <row r="6" ht="26.25" customHeight="1" s="38">
      <c r="A6" s="46" t="inlineStr">
        <is>
          <t>J2 axis horizontal offset from J1 axis (along arm plane / robot X at J1=0)</t>
        </is>
      </c>
      <c r="B6" s="72">
        <f>ABS(Joint_Axes!F6-Joint_Axes!F5)</f>
        <v/>
      </c>
      <c r="C6" s="46" t="inlineStr">
        <is>
          <t>Yes (local offset with the current frame mapping)</t>
        </is>
      </c>
      <c r="D6" s="46" t="inlineStr">
        <is>
          <t>|ΔFusion X| between shoulder and base axes</t>
        </is>
      </c>
    </row>
    <row r="7" ht="15" customHeight="1" s="38">
      <c r="A7" s="46" t="inlineStr">
        <is>
          <t>J2 → J3 (shoulder → elbow) link length</t>
        </is>
      </c>
      <c r="B7" s="72">
        <f>SQRT((Joint_Axes!F7-Joint_Axes!F6)^2+(Joint_Axes!G7-Joint_Axes!G6)^2)</f>
        <v/>
      </c>
      <c r="C7" s="46" t="inlineStr">
        <is>
          <t>Yes (local link length)</t>
        </is>
      </c>
      <c r="D7" s="46" t="inlineStr">
        <is>
          <t>In-plane distance between the two parallel axes (local length, not a global coordinate).</t>
        </is>
      </c>
    </row>
    <row r="8" ht="15" customHeight="1" s="38">
      <c r="A8" s="46" t="inlineStr">
        <is>
          <t>J3 → J5 (elbow → wrist pitch) link length</t>
        </is>
      </c>
      <c r="B8" s="72">
        <f>SQRT((Joint_Axes!F9-Joint_Axes!F7)^2+(Joint_Axes!G9-Joint_Axes!G7)^2)</f>
        <v/>
      </c>
      <c r="C8" s="46" t="inlineStr">
        <is>
          <t>Yes (local link length; J3→J5 parallel-axis reference)</t>
        </is>
      </c>
      <c r="D8" s="46" t="inlineStr">
        <is>
          <t>In-plane distance between the two parallel axes (local length; not full J4 roll geometry).</t>
        </is>
      </c>
    </row>
    <row r="9" ht="15" customHeight="1" s="38">
      <c r="A9" s="46" t="inlineStr">
        <is>
          <t>J3 → J4 roll-axis start (along roll axis)</t>
        </is>
      </c>
      <c r="B9" s="72">
        <f>Joint_Axes!G8-Joint_Axes!G7</f>
        <v/>
      </c>
      <c r="C9" s="46" t="inlineStr">
        <is>
          <t>No</t>
        </is>
      </c>
      <c r="D9" s="46" t="inlineStr">
        <is>
          <t>Joint origin point only; roll axis is collinear with the arm</t>
        </is>
      </c>
    </row>
    <row r="10" ht="15" customHeight="1" s="38">
      <c r="A10" s="46" t="inlineStr">
        <is>
          <t>J4 roll axis offset from J1 axis (sideways; Fusion Z difference = robot Y only with the current frame mapping)</t>
        </is>
      </c>
      <c r="B10" s="72">
        <f>Joint_Axes!H8-Inputs!$B$8</f>
        <v/>
      </c>
      <c r="C10" s="46" t="inlineStr">
        <is>
          <t>Yes</t>
        </is>
      </c>
      <c r="D10" s="46" t="inlineStr">
        <is>
          <t>Arm plane is offset sideways from J1 – include as d/offset in DH. The robot-axis label is frame-specific; re-derive it if the arrow/frame changes.</t>
        </is>
      </c>
    </row>
    <row r="11" ht="15" customHeight="1" s="38">
      <c r="A11" s="46" t="inlineStr">
        <is>
          <t>J4 roll axis offset from J2/J3 line (along arm plane)</t>
        </is>
      </c>
      <c r="B11" s="72">
        <f>Joint_Axes!F8-Joint_Axes!F7</f>
        <v/>
      </c>
      <c r="C11" s="46" t="inlineStr">
        <is>
          <t>Yes</t>
        </is>
      </c>
      <c r="D11" s="46" t="inlineStr">
        <is>
          <t>≈0 → roll axis passes through elbow/pitch line</t>
        </is>
      </c>
    </row>
    <row r="12" ht="15" customHeight="1" s="38">
      <c r="A12" s="46" t="inlineStr">
        <is>
          <t>J5 → J6 gear pivots (along arm)</t>
        </is>
      </c>
      <c r="B12" s="72">
        <f>Joint_Axes!G10-Joint_Axes!G9</f>
        <v/>
      </c>
      <c r="C12" s="46" t="inlineStr">
        <is>
          <t>No</t>
        </is>
      </c>
      <c r="D12" s="46" t="inlineStr">
        <is>
          <t>Gear pivots, NOT the TCP</t>
        </is>
      </c>
    </row>
    <row r="13" ht="26.25" customHeight="1" s="38">
      <c r="A13" s="46" t="inlineStr">
        <is>
          <t>J5 → gripper jaw extent (bounding box, rough)</t>
        </is>
      </c>
      <c r="B13" s="72">
        <f>409.1-Joint_Axes!G9</f>
        <v/>
      </c>
      <c r="C13" s="46" t="inlineStr">
        <is>
          <t>No</t>
        </is>
      </c>
      <c r="D13" s="46" t="inlineStr">
        <is>
          <t>Bounding box of jaw parts – not a defined TCP. Measure TCP on the real gripper.</t>
        </is>
      </c>
    </row>
    <row r="14" ht="15" customHeight="1" s="38">
      <c r="A14" s="46" t="inlineStr">
        <is>
          <t>Top of shoulder chain at CAD pose: J5 height above floor</t>
        </is>
      </c>
      <c r="B14" s="72">
        <f>Joint_Axes!G9-Inputs!$B$9+Inputs!$B$6</f>
        <v/>
      </c>
      <c r="C14" s="46" t="inlineStr">
        <is>
          <t>No</t>
        </is>
      </c>
      <c r="D14" s="46" t="inlineStr">
        <is>
          <t>CAD pose only</t>
        </is>
      </c>
    </row>
    <row r="16" ht="15" customHeight="1" s="38">
      <c r="A16" s="52" t="inlineStr">
        <is>
          <t>409.1 = max Fusion Y of gripper_part_left (bounding box, typed in from CAD).</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46" customWidth="1" style="37" min="1" max="1"/>
    <col width="10" customWidth="1" style="37" min="2" max="5"/>
    <col width="80" customWidth="1" style="37" min="6" max="6"/>
  </cols>
  <sheetData>
    <row r="1" ht="17.25" customHeight="1" s="38">
      <c r="A1" s="42" t="inlineStr">
        <is>
          <t>Held-object position – comparison (CAD and physical kept separate)</t>
        </is>
      </c>
    </row>
    <row r="2" ht="48" customHeight="1" s="38">
      <c r="A2" s="40" t="inlineStr">
        <is>
          <t>The block (15 × 25 × 15 mm, jaws across the 25 mm width, 15 mm vertical) is NOT modelled in the CAD, so no seated block centre was measured. The CAD rows below describe the jaw geometry only. The physical rows further below are preliminary ruler/approx readings, not a model fit. The reference TCP is CAD-derived/imposed, not an independently measured CAD block centre. CAD agreement does not validate the real arm's X/Y position or full FK.</t>
        </is>
      </c>
    </row>
    <row r="4" ht="15" customHeight="1" s="38">
      <c r="A4" s="43" t="inlineStr">
        <is>
          <t>Quantity</t>
        </is>
      </c>
      <c r="B4" s="43" t="inlineStr">
        <is>
          <t>X (mm)</t>
        </is>
      </c>
      <c r="C4" s="43" t="inlineStr">
        <is>
          <t>Y (mm)</t>
        </is>
      </c>
      <c r="D4" s="43" t="inlineStr">
        <is>
          <t>Z (mm)</t>
        </is>
      </c>
      <c r="E4" s="43" t="inlineStr">
        <is>
          <t>Type</t>
        </is>
      </c>
      <c r="F4" s="43" t="inlineStr">
        <is>
          <t>Source / note</t>
        </is>
      </c>
    </row>
    <row r="5" ht="30" customHeight="1" s="38">
      <c r="A5" s="46" t="inlineStr">
        <is>
          <t>Offline hybrid model prediction (block centre)</t>
        </is>
      </c>
      <c r="B5" s="65" t="n">
        <v>10.15</v>
      </c>
      <c r="C5" s="65" t="n">
        <v>9.52</v>
      </c>
      <c r="D5" s="65" t="n">
        <v>438.5</v>
      </c>
      <c r="E5" s="44" t="inlineStr">
        <is>
          <t>Model</t>
        </is>
      </c>
      <c r="F5" s="46" t="inlineStr">
        <is>
          <t>Our offline measured/CAD model (CAD-derived/imposed reference; not an independently measured CAD block centre)</t>
        </is>
      </c>
    </row>
    <row r="6" ht="30" customHeight="1" s="38">
      <c r="A6" s="46" t="inlineStr">
        <is>
          <t>Physical: block top above floor</t>
        </is>
      </c>
      <c r="B6" s="65" t="n"/>
      <c r="C6" s="65" t="n"/>
      <c r="D6" s="65" t="n">
        <v>446</v>
      </c>
      <c r="E6" s="44" t="inlineStr">
        <is>
          <t>Physical</t>
        </is>
      </c>
      <c r="F6" s="46" t="inlineStr">
        <is>
          <t>Measured on the real arm</t>
        </is>
      </c>
    </row>
    <row r="7" ht="30" customHeight="1" s="38">
      <c r="A7" s="46" t="inlineStr">
        <is>
          <t>Physical: derived block centre height</t>
        </is>
      </c>
      <c r="B7" s="65" t="n"/>
      <c r="C7" s="65" t="n"/>
      <c r="D7" s="55">
        <f>D6-15/2</f>
        <v/>
      </c>
      <c r="E7" s="44" t="inlineStr">
        <is>
          <t>Physical</t>
        </is>
      </c>
      <c r="F7" s="46" t="inlineStr">
        <is>
          <t>Level-top assumption, 15 mm vertical</t>
        </is>
      </c>
    </row>
    <row r="8" ht="48" customHeight="1" s="38">
      <c r="A8" s="46" t="inlineStr">
        <is>
          <t>CAD jaw-gap centreline at the jaw tips (no block seated)</t>
        </is>
      </c>
      <c r="B8" s="65" t="n">
        <v>10.1</v>
      </c>
      <c r="C8" s="65" t="n">
        <v>9.369999999999999</v>
      </c>
      <c r="D8" s="65" t="n"/>
      <c r="E8" s="44" t="inlineStr">
        <is>
          <t>CAD</t>
        </is>
      </c>
      <c r="F8" s="46" t="inlineStr">
        <is>
          <t>As-built pose, gripper gears at 20°. Jaw X extents −16.6…−3.6 (Fusion) → X = +10.10. Inner pad faces at Fusion Z 41.5 (left) and 13.6 (right): gap 27.9 mm, mid 27.55 → Y = +9.37.</t>
        </is>
      </c>
    </row>
    <row r="9" ht="48" customHeight="1" s="38">
      <c r="A9" s="46" t="inlineStr">
        <is>
          <t>CAD jaw-pad top height (mean of left 439.5 and right 437.7)</t>
        </is>
      </c>
      <c r="B9" s="65" t="n"/>
      <c r="C9" s="65" t="n"/>
      <c r="D9" s="65" t="n">
        <v>438.6</v>
      </c>
      <c r="E9" s="44" t="inlineStr">
        <is>
          <t>CAD</t>
        </is>
      </c>
      <c r="F9" s="46" t="inlineStr">
        <is>
          <t>Height above the plate bottom. Same pose. Compare Z only if the plate sits flat on the floor.</t>
        </is>
      </c>
    </row>
    <row r="10" ht="30" customHeight="1" s="38">
      <c r="A10" s="46" t="inlineStr">
        <is>
          <t>Difference: CAD jaw-gap − hybrid prediction</t>
        </is>
      </c>
      <c r="B10" s="55">
        <f>B8-B5</f>
        <v/>
      </c>
      <c r="C10" s="55">
        <f>C8-C5</f>
        <v/>
      </c>
      <c r="D10" s="55">
        <f>D9-D5</f>
        <v/>
      </c>
      <c r="E10" s="44" t="n"/>
      <c r="F10" s="46" t="inlineStr">
        <is>
          <t>Small agreement only shows the offline model was built from this CAD geometry</t>
        </is>
      </c>
    </row>
    <row r="12" ht="30" customHeight="1" s="38">
      <c r="A12" s="40" t="inlineStr">
        <is>
          <t>To do a true block-centre check, the 15 × 25 × 15 block must be added to the CAD and seated at the real grasp height/J6 holding angle (now known: 20°). Not done; the physical grip/TCP remains unmeasured.</t>
        </is>
      </c>
    </row>
    <row r="14" ht="15" customHeight="1" s="38">
      <c r="A14" s="42" t="inlineStr">
        <is>
          <t>Physical measurements (preliminary, approximate; separate from the CAD rows above)</t>
        </is>
      </c>
    </row>
    <row r="15" ht="48" customHeight="1" s="38">
      <c r="A15" s="73" t="inlineStr">
        <is>
          <t>Static repeats below: the block was not reseated and the joints were unchanged, so this is static measurement repeatability, not grip repeatability. The J1-only move and the return are separate approximate readings, not backlash or FK validation.</t>
        </is>
      </c>
      <c r="B15" s="74" t="n"/>
      <c r="C15" s="74" t="n"/>
      <c r="D15" s="74" t="n"/>
      <c r="E15" s="74" t="n"/>
      <c r="F15" s="75" t="n"/>
    </row>
    <row r="16" ht="30" customHeight="1" s="38">
      <c r="A16" s="46" t="n"/>
      <c r="B16" s="65" t="n"/>
      <c r="E16" s="44" t="n"/>
      <c r="F16" s="46" t="n"/>
    </row>
    <row r="17" ht="30" customHeight="1" s="38">
      <c r="A17" s="42" t="inlineStr">
        <is>
          <t>Starting pose, J1 = 85° (other joints unchanged): static repeats, block not reseated</t>
        </is>
      </c>
      <c r="B17" s="65" t="n"/>
      <c r="E17" s="44" t="n"/>
      <c r="F17" s="46" t="n"/>
    </row>
    <row r="18" ht="30" customHeight="1" s="38">
      <c r="A18" s="43" t="inlineStr">
        <is>
          <t>Sample</t>
        </is>
      </c>
      <c r="B18" s="43" t="inlineStr">
        <is>
          <t>X (mm)</t>
        </is>
      </c>
      <c r="C18" s="43" t="inlineStr">
        <is>
          <t>Y (mm)</t>
        </is>
      </c>
      <c r="D18" s="43" t="n"/>
      <c r="E18" s="43" t="n"/>
      <c r="F18" s="43" t="inlineStr">
        <is>
          <t>Condition</t>
        </is>
      </c>
    </row>
    <row r="19" ht="30" customHeight="1" s="38">
      <c r="A19" s="46" t="n">
        <v>1</v>
      </c>
      <c r="B19" s="65" t="n">
        <v>6</v>
      </c>
      <c r="C19" s="65" t="n">
        <v>7</v>
      </c>
      <c r="D19" s="65" t="n"/>
      <c r="E19" s="44" t="n"/>
      <c r="F19" s="46" t="inlineStr">
        <is>
          <t>Block not reseated; joints unchanged</t>
        </is>
      </c>
    </row>
    <row r="20" ht="30" customHeight="1" s="38">
      <c r="A20" s="46" t="n">
        <v>2</v>
      </c>
      <c r="B20" s="65" t="n">
        <v>7.5</v>
      </c>
      <c r="C20" s="65" t="n">
        <v>10</v>
      </c>
      <c r="D20" s="55" t="n"/>
      <c r="E20" s="44" t="n"/>
      <c r="F20" s="46" t="inlineStr">
        <is>
          <t>Block not reseated; joints unchanged</t>
        </is>
      </c>
    </row>
    <row r="21" ht="30" customHeight="1" s="38">
      <c r="A21" s="46" t="n">
        <v>3</v>
      </c>
      <c r="B21" s="65" t="n">
        <v>7</v>
      </c>
      <c r="C21" s="65" t="n">
        <v>9</v>
      </c>
      <c r="F21" s="46" t="inlineStr">
        <is>
          <t>Block not reseated; joints unchanged</t>
        </is>
      </c>
    </row>
    <row r="22" ht="30" customHeight="1" s="38">
      <c r="A22" s="46" t="inlineStr">
        <is>
          <t>Mean</t>
        </is>
      </c>
      <c r="B22" s="55">
        <f>AVERAGE(B19:B21)</f>
        <v/>
      </c>
      <c r="C22" s="55">
        <f>AVERAGE(C19:C21)</f>
        <v/>
      </c>
      <c r="D22" s="55" t="n"/>
      <c r="E22" s="44" t="n"/>
      <c r="F22" s="46" t="inlineStr">
        <is>
          <t>Mean of the three static repeats; not a grip study.</t>
        </is>
      </c>
    </row>
    <row r="23" ht="30" customHeight="1" s="38">
      <c r="A23" s="46" t="inlineStr">
        <is>
          <t>Min</t>
        </is>
      </c>
      <c r="B23" s="55">
        <f>MIN(B19:B21)</f>
        <v/>
      </c>
      <c r="C23" s="55">
        <f>MIN(C19:C21)</f>
        <v/>
      </c>
      <c r="E23" s="44" t="n"/>
      <c r="F23" s="46" t="inlineStr">
        <is>
          <t>Range low.</t>
        </is>
      </c>
    </row>
    <row r="24" ht="30" customHeight="1" s="38">
      <c r="A24" s="46" t="inlineStr">
        <is>
          <t>Max</t>
        </is>
      </c>
      <c r="B24" s="55">
        <f>MAX(B19:B21)</f>
        <v/>
      </c>
      <c r="C24" s="55">
        <f>MAX(C19:C21)</f>
        <v/>
      </c>
      <c r="E24" s="44" t="n"/>
      <c r="F24" s="46" t="inlineStr">
        <is>
          <t>Range high: X 6.0–7.5 mm, Y 7.0–10.0 mm.</t>
        </is>
      </c>
    </row>
    <row r="25" ht="30" customHeight="1" s="38">
      <c r="A25" s="46" t="inlineStr">
        <is>
          <t>Range width</t>
        </is>
      </c>
      <c r="B25" s="55">
        <f>B24-B23</f>
        <v/>
      </c>
      <c r="C25" s="55">
        <f>C24-C23</f>
        <v/>
      </c>
      <c r="E25" s="44" t="n"/>
      <c r="F25" s="46" t="inlineStr">
        <is>
          <t>Max − min; measurement spread only.</t>
        </is>
      </c>
    </row>
    <row r="26" ht="30" customHeight="1" s="38">
      <c r="A26" s="46" t="n"/>
      <c r="D26" s="55" t="n"/>
      <c r="E26" s="44" t="n"/>
      <c r="F26" s="46" t="n"/>
    </row>
    <row r="27">
      <c r="A27" s="42" t="inlineStr">
        <is>
          <t>J1-only move: J1 = 100° (other joints unchanged; fixed coordinate frame, no slip)</t>
        </is>
      </c>
    </row>
    <row r="28" ht="30" customHeight="1" s="38">
      <c r="A28" s="43" t="inlineStr">
        <is>
          <t>Quantity</t>
        </is>
      </c>
      <c r="B28" s="43" t="inlineStr">
        <is>
          <t>X (mm)</t>
        </is>
      </c>
      <c r="C28" s="43" t="inlineStr">
        <is>
          <t>Y low (mm)</t>
        </is>
      </c>
      <c r="D28" s="43" t="inlineStr">
        <is>
          <t>Y high (mm)</t>
        </is>
      </c>
      <c r="E28" s="43" t="inlineStr">
        <is>
          <t>Type</t>
        </is>
      </c>
      <c r="F28" s="43" t="inlineStr">
        <is>
          <t>Source / note</t>
        </is>
      </c>
    </row>
    <row r="29" ht="30" customHeight="1" s="38">
      <c r="A29" s="46" t="inlineStr">
        <is>
          <t>Outward physical TCP (rough)</t>
        </is>
      </c>
      <c r="B29" s="65" t="n">
        <v>6</v>
      </c>
      <c r="C29" s="65" t="n">
        <v>8</v>
      </c>
      <c r="D29" s="65" t="n">
        <v>10</v>
      </c>
      <c r="E29" s="44" t="inlineStr">
        <is>
          <t>Physical</t>
        </is>
      </c>
      <c r="F29" s="46" t="inlineStr">
        <is>
          <t>Rough: X is one approximate reading and Y an 8–10 mm interval. Not repeated and not used as the reference.</t>
        </is>
      </c>
    </row>
    <row r="30" ht="30" customHeight="1" s="38"/>
    <row r="31" ht="30" customHeight="1" s="38">
      <c r="A31" s="42" t="inlineStr">
        <is>
          <t>Return to J1 = 85° after the J1-only move</t>
        </is>
      </c>
    </row>
    <row r="32" ht="30" customHeight="1" s="38">
      <c r="A32" s="43" t="inlineStr">
        <is>
          <t>Quantity</t>
        </is>
      </c>
      <c r="B32" s="43" t="inlineStr">
        <is>
          <t>X (mm)</t>
        </is>
      </c>
      <c r="C32" s="43" t="inlineStr">
        <is>
          <t>Y (mm)</t>
        </is>
      </c>
      <c r="D32" s="43" t="inlineStr">
        <is>
          <t>Z (mm)</t>
        </is>
      </c>
      <c r="E32" s="43" t="inlineStr">
        <is>
          <t>Type</t>
        </is>
      </c>
      <c r="F32" s="43" t="inlineStr">
        <is>
          <t>Source / note</t>
        </is>
      </c>
    </row>
    <row r="33" ht="30" customHeight="1" s="38">
      <c r="A33" s="46" t="inlineStr">
        <is>
          <t>Return physical TCP (latest, approximate)</t>
        </is>
      </c>
      <c r="B33" s="65" t="n">
        <v>8</v>
      </c>
      <c r="C33" s="65" t="n">
        <v>7</v>
      </c>
      <c r="E33" s="44" t="inlineStr">
        <is>
          <t>Physical</t>
        </is>
      </c>
      <c r="F33" s="46" t="inlineStr">
        <is>
          <t>Latest approximate single reading; this is the return, not the starting reference.</t>
        </is>
      </c>
    </row>
    <row r="34" ht="30" customHeight="1" s="38">
      <c r="A34" s="46" t="inlineStr">
        <is>
          <t>Return − starting mean</t>
        </is>
      </c>
      <c r="B34" s="55">
        <f>B33-B22</f>
        <v/>
      </c>
      <c r="C34" s="55">
        <f>C33-C22</f>
        <v/>
      </c>
      <c r="E34" s="44" t="inlineStr">
        <is>
          <t>Difference</t>
        </is>
      </c>
      <c r="F34" s="46" t="inlineStr">
        <is>
          <t>+1.166667 mm X, −1.666667 mm Y. Return X is 0.5 mm above the starting X max (7.5), so it is outside the starting X range; cannot claim the return is within both ranges.</t>
        </is>
      </c>
    </row>
    <row r="35" ht="30" customHeight="1" s="38">
      <c r="A35" s="46" t="inlineStr">
        <is>
          <t>Physical block top above floor (previous)</t>
        </is>
      </c>
      <c r="D35" s="65" t="n">
        <v>446</v>
      </c>
      <c r="E35" s="44" t="inlineStr">
        <is>
          <t>Physical</t>
        </is>
      </c>
      <c r="F35" s="46" t="inlineStr">
        <is>
          <t>Previous measured top; not remeasured in this repeat check.</t>
        </is>
      </c>
    </row>
    <row r="36" ht="30" customHeight="1" s="38">
      <c r="A36" s="46" t="inlineStr">
        <is>
          <t>Physical implied block-centre Z</t>
        </is>
      </c>
      <c r="D36" s="55">
        <f>D35-15/2</f>
        <v/>
      </c>
      <c r="E36" s="44" t="inlineStr">
        <is>
          <t>Derived</t>
        </is>
      </c>
      <c r="F36" s="46" t="inlineStr">
        <is>
          <t>Level-top assumption, 15 mm vertical; not an independent centre measurement.</t>
        </is>
      </c>
    </row>
    <row r="37" ht="30" customHeight="1" s="38">
      <c r="A37" s="46" t="inlineStr">
        <is>
          <t>Model reference Z (Inputs)</t>
        </is>
      </c>
      <c r="D37" s="55">
        <f>Inputs!B24</f>
        <v/>
      </c>
      <c r="E37" s="44" t="inlineStr">
        <is>
          <t>Model</t>
        </is>
      </c>
      <c r="F37" s="46" t="inlineStr">
        <is>
          <t>Reference Z was constructed from the same 446 mm top/15 mm assumption; matching Z is by construction, not independent validation.</t>
        </is>
      </c>
    </row>
    <row r="38" ht="30" customHeight="1" s="38">
      <c r="A38" s="46" t="inlineStr">
        <is>
          <t>Δ implied centre − model</t>
        </is>
      </c>
      <c r="D38" s="55">
        <f>D36-D37</f>
        <v/>
      </c>
      <c r="E38" s="44" t="inlineStr">
        <is>
          <t>Difference</t>
        </is>
      </c>
      <c r="F38" s="46" t="inlineStr">
        <is>
          <t>Recorded comparison only; no calibration/fitting.</t>
        </is>
      </c>
    </row>
    <row r="39"/>
    <row r="40">
      <c r="A40" s="42" t="inlineStr">
        <is>
          <t>15° base-yaw comparison (J1 85→100; Rz formula only, not an independent Z check)</t>
        </is>
      </c>
    </row>
    <row r="41" ht="30" customHeight="1" s="38">
      <c r="A41" s="43" t="inlineStr">
        <is>
          <t>Quantity</t>
        </is>
      </c>
      <c r="B41" s="43" t="inlineStr">
        <is>
          <t>X (mm)</t>
        </is>
      </c>
      <c r="C41" s="43" t="inlineStr">
        <is>
          <t>Y (mm)</t>
        </is>
      </c>
      <c r="D41" s="43" t="n"/>
      <c r="E41" s="43" t="n"/>
      <c r="F41" s="43" t="inlineStr">
        <is>
          <t>Source / note</t>
        </is>
      </c>
    </row>
    <row r="42" ht="30" customHeight="1" s="38">
      <c r="A42" s="46" t="inlineStr">
        <is>
          <t>Model reference TCP at start</t>
        </is>
      </c>
      <c r="B42" s="55">
        <f>Inputs!B22</f>
        <v/>
      </c>
      <c r="C42" s="55">
        <f>Inputs!B23</f>
        <v/>
      </c>
      <c r="F42" s="46" t="inlineStr">
        <is>
          <t>Model.</t>
        </is>
      </c>
    </row>
    <row r="43" ht="30" customHeight="1" s="38">
      <c r="A43" s="46" t="inlineStr">
        <is>
          <t>Model reference after Rz(+15°)</t>
        </is>
      </c>
      <c r="B43" s="55">
        <f>COS(RADIANS(15))*B42-SIN(RADIANS(15))*C42</f>
        <v/>
      </c>
      <c r="C43" s="55">
        <f>SIN(RADIANS(15))*B42+COS(RADIANS(15))*C42</f>
        <v/>
      </c>
      <c r="F43" s="46" t="inlineStr">
        <is>
          <t>Workbook prediction (~7.340, 11.823 mm).</t>
        </is>
      </c>
    </row>
    <row r="44" ht="30" customHeight="1" s="38">
      <c r="A44" s="46" t="inlineStr">
        <is>
          <t>Measured starting mean</t>
        </is>
      </c>
      <c r="B44" s="55">
        <f>B22</f>
        <v/>
      </c>
      <c r="C44" s="55">
        <f>C22</f>
        <v/>
      </c>
      <c r="F44" s="46" t="inlineStr">
        <is>
          <t>Static mean from repeats above.</t>
        </is>
      </c>
    </row>
    <row r="45" ht="30" customHeight="1" s="38">
      <c r="A45" s="46" t="inlineStr">
        <is>
          <t>Measured mean after Rz(+15°)</t>
        </is>
      </c>
      <c r="B45" s="55">
        <f>COS(RADIANS(15))*B44-SIN(RADIANS(15))*C44</f>
        <v/>
      </c>
      <c r="C45" s="55">
        <f>SIN(RADIANS(15))*B44+COS(RADIANS(15))*C44</f>
        <v/>
      </c>
      <c r="F45" s="46" t="inlineStr">
        <is>
          <t>Formula rotation of the measured mean (~4.357, 10.140 mm); hypothetical, not a measured outward point.</t>
        </is>
      </c>
    </row>
    <row r="46" ht="30" customHeight="1" s="38">
      <c r="A46" s="46" t="inlineStr">
        <is>
          <t>Model rotated − measured mean rotated</t>
        </is>
      </c>
      <c r="B46" s="55">
        <f>B43-B45</f>
        <v/>
      </c>
      <c r="C46" s="55">
        <f>C43-C45</f>
        <v/>
      </c>
      <c r="F46" s="46" t="inlineStr">
        <is>
          <t>Formula difference only.</t>
        </is>
      </c>
    </row>
    <row r="47"/>
    <row r="48" ht="48" customHeight="1" s="38">
      <c r="A48" s="40" t="inlineStr">
        <is>
          <t>Rz rotates X/Y only; Z is carried through unchanged, so this table is not independent Z verification. The rough J1 = 100 reading and the return reading are separate approximate readings; neither is a fit, a backlash measurement or full FK validation.</t>
        </is>
      </c>
    </row>
  </sheetData>
  <mergeCells count="4">
    <mergeCell ref="A2:F2"/>
    <mergeCell ref="A15:F15"/>
    <mergeCell ref="A12:F12"/>
    <mergeCell ref="A48:F4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359375" defaultRowHeight="15" zeroHeight="0" outlineLevelRow="0"/>
  <cols>
    <col width="4" customWidth="1" style="37" min="1" max="1"/>
    <col width="46" customWidth="1" style="37" min="2" max="2"/>
    <col width="26" customWidth="1" style="37" min="3" max="3"/>
    <col width="90" customWidth="1" style="37" min="4" max="4"/>
  </cols>
  <sheetData>
    <row r="1" ht="17.25" customHeight="1" s="38">
      <c r="A1" s="42" t="inlineStr">
        <is>
          <t>Status of open items</t>
        </is>
      </c>
    </row>
    <row r="3" ht="15" customHeight="1" s="38">
      <c r="A3" s="43" t="inlineStr">
        <is>
          <t>#</t>
        </is>
      </c>
      <c r="B3" s="43" t="inlineStr">
        <is>
          <t>Item</t>
        </is>
      </c>
      <c r="C3" s="43" t="inlineStr">
        <is>
          <t>Status</t>
        </is>
      </c>
      <c r="D3" s="43" t="inlineStr">
        <is>
          <t>What is needed</t>
        </is>
      </c>
    </row>
    <row r="4" ht="43.5" customHeight="1" s="38">
      <c r="A4" s="44" t="n">
        <v>1</v>
      </c>
      <c r="B4" s="46" t="inlineStr">
        <is>
          <t>Forward direction (arrow)</t>
        </is>
      </c>
      <c r="C4" s="59" t="inlineStr">
        <is>
          <t>RESOLVED</t>
        </is>
      </c>
      <c r="D4" s="46" t="inlineStr">
        <is>
          <t>You said front = curved side of base_link; CAD shows that side is Fusion −X. Robot X = −Fusion X, Y = +Fusion Z (right-handed, checked).</t>
        </is>
      </c>
    </row>
    <row r="5" ht="43.5" customHeight="1" s="38">
      <c r="A5" s="44" t="n">
        <v>2</v>
      </c>
      <c r="B5" s="46" t="inlineStr">
        <is>
          <t>J4 = roll, J5 = pitch</t>
        </is>
      </c>
      <c r="C5" s="59" t="inlineStr">
        <is>
          <t>RESOLVED</t>
        </is>
      </c>
      <c r="D5" s="46" t="inlineStr">
        <is>
          <t>Confirmed by you and by the CAD joint axes.</t>
        </is>
      </c>
    </row>
    <row r="6" ht="43.5" customHeight="1" s="38">
      <c r="A6" s="44" t="n">
        <v>3</v>
      </c>
      <c r="B6" s="46" t="inlineStr">
        <is>
          <t>Servo reference pose = CAD as-built pose (all q = 0)</t>
        </is>
      </c>
      <c r="C6" s="76" t="inlineStr">
        <is>
          <t>PROVISIONAL – candidate zero</t>
        </is>
      </c>
      <c r="D6" s="46" t="inlineStr">
        <is>
          <t>85/145/88/88/96 is user-supplied. Zero alignment needs a multipose physical check; the height match is by construction, not validation.</t>
        </is>
      </c>
    </row>
    <row r="7" ht="43.5" customHeight="1" s="38">
      <c r="A7" s="44" t="n">
        <v>4</v>
      </c>
      <c r="B7" s="46" t="inlineStr">
        <is>
          <t>Servo direction signs J1–J5</t>
        </is>
      </c>
      <c r="C7" s="76" t="inlineStr">
        <is>
          <t>KNOWN CANDIDATE – retest at 1°</t>
        </is>
      </c>
      <c r="D7" s="46" t="inlineStr">
        <is>
          <t>Candidate signs +1/−1/+1/+1/−1 are entered. Recheck each with a small slow 1° physical move (not IK output); J5 is provisional at J4 = 88°.</t>
        </is>
      </c>
    </row>
    <row r="8" ht="43.5" customHeight="1" s="38">
      <c r="A8" s="44" t="n">
        <v>5</v>
      </c>
      <c r="B8" s="46" t="inlineStr">
        <is>
          <t>Foot / pad height under the plate</t>
        </is>
      </c>
      <c r="C8" s="76" t="inlineStr">
        <is>
          <t>OPEN – 0 assumed</t>
        </is>
      </c>
      <c r="D8" s="46" t="inlineStr">
        <is>
          <t>Inputs!B6 = 0 assumed; foot/pad height is still unmeasured.</t>
        </is>
      </c>
    </row>
    <row r="9" ht="43.5" customHeight="1" s="38">
      <c r="A9" s="44" t="n">
        <v>6</v>
      </c>
      <c r="B9" s="46" t="inlineStr">
        <is>
          <t>J6 angle while holding the block</t>
        </is>
      </c>
      <c r="C9" s="76" t="inlineStr">
        <is>
          <t>KNOWN – 20°</t>
        </is>
      </c>
      <c r="D9" s="46" t="inlineStr">
        <is>
          <t>Inputs!B19 = 20° measured holding angle. 40° is startup/home only. The CAD block is still not seated and the physical grip/TCP remains unmeasured, so the holding pose is not CAD/FK-verified.</t>
        </is>
      </c>
    </row>
    <row r="10" ht="43.5" customHeight="1" s="38">
      <c r="A10" s="44" t="n">
        <v>7</v>
      </c>
      <c r="B10" s="46" t="inlineStr">
        <is>
          <t>Real plate dimensions vs CAD (186.5 × 128 mm)</t>
        </is>
      </c>
      <c r="C10" s="76" t="inlineStr">
        <is>
          <t>OPEN</t>
        </is>
      </c>
      <c r="D10" s="46" t="inlineStr">
        <is>
          <t>Tape-measure; if different, measure J1 offsets on the real plate instead (J1_Location).</t>
        </is>
      </c>
    </row>
    <row r="11" ht="43.5" customHeight="1" s="38">
      <c r="A11" s="44" t="n">
        <v>8</v>
      </c>
      <c r="B11" s="46" t="inlineStr">
        <is>
          <t>Servo limits / joint ranges</t>
        </is>
      </c>
      <c r="C11" s="76" t="inlineStr">
        <is>
          <t>KNOWN CANDIDATE – not collision-certified</t>
        </is>
      </c>
      <c r="D11" s="46" t="inlineStr">
        <is>
          <t>Per-joint candidate endpoints are in Inputs!B35:C40 (J1 0–180, J2 50–180, J3 45–180, J4 0–180, J5 25–140, J6 0–60). Endpoint checks only. Firmware motion retains commanded-state and pending-endpoint interlocks; physical path clearance and real collisions still need verification, with no automated collision guarantee.</t>
        </is>
      </c>
    </row>
    <row r="12" ht="43.5" customHeight="1" s="38">
      <c r="A12" s="44" t="n">
        <v>9</v>
      </c>
      <c r="B12" s="46" t="inlineStr">
        <is>
          <t>Block seated in the CAD</t>
        </is>
      </c>
      <c r="C12" s="77" t="inlineStr">
        <is>
          <t>NOT DONE</t>
        </is>
      </c>
      <c r="D12" s="46" t="inlineStr">
        <is>
          <t>Optional; CAD currently has a different cube (cube_25mm) on the tray. The physical grip/TCP is still unknown, so the seated block pose is unverified.</t>
        </is>
      </c>
    </row>
    <row r="13" ht="43.5" customHeight="1" s="38">
      <c r="A13" s="44" t="n">
        <v>10</v>
      </c>
      <c r="B13" s="46" t="inlineStr">
        <is>
          <t>Full IK incl. roll q4</t>
        </is>
      </c>
      <c r="C13" s="77" t="inlineStr">
        <is>
          <t>NOT PROVIDED</t>
        </is>
      </c>
      <c r="D13" s="46" t="inlineStr">
        <is>
          <t>IK_Calculator fixes q4 = 0. A roll-including IK can be added if needed.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2026-10-27T20:15:44Z</dcterms:created>
  <dcterms:modified xmlns:dcterms="http://purl.org/dc/terms/" xmlns:xsi="http://www.w3.org/2001/XMLSchema-instance" xsi:type="dcterms:W3CDTF">2026-10-27T21:58:05Z</dcterms:modified>
  <cp:revision>0</cp:revision>
</cp:coreProperties>
</file>